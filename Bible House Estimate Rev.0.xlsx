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2782815e070832c/Documents/bible house reno/"/>
    </mc:Choice>
  </mc:AlternateContent>
  <xr:revisionPtr revIDLastSave="1" documentId="11_6D2FCA71FD4380C1339232281666E3EF74D027BA" xr6:coauthVersionLast="47" xr6:coauthVersionMax="47" xr10:uidLastSave="{1A6BD112-C399-4B8D-AF2B-8EF39F298855}"/>
  <bookViews>
    <workbookView xWindow="-108" yWindow="-108" windowWidth="23256" windowHeight="12456" xr2:uid="{00000000-000D-0000-FFFF-FFFF00000000}"/>
  </bookViews>
  <sheets>
    <sheet name="Summary" sheetId="1" r:id="rId1"/>
    <sheet name="Costpla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ALL2">[1]CostPlan!#REF!</definedName>
    <definedName name="__MUP3">[1]Rates!$D$116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20">#REF!</definedName>
    <definedName name="_21">#REF!</definedName>
    <definedName name="_22">#REF!</definedName>
    <definedName name="_7">#REF!</definedName>
    <definedName name="_8">#REF!</definedName>
    <definedName name="_9">#REF!</definedName>
    <definedName name="_ALL1">#REF!</definedName>
    <definedName name="_ALL2">#REF!</definedName>
    <definedName name="_ALL3">#REF!</definedName>
    <definedName name="_xlnm._FilterDatabase" localSheetId="1" hidden="1">Costplan!$O$7:$O$315</definedName>
    <definedName name="_MUP3">[2]Rates!#REF!</definedName>
    <definedName name="ajay">'[3]Schedule of Rates'!#REF!</definedName>
    <definedName name="ALL">#REF!</definedName>
    <definedName name="ar">[4]Rates!$D$48</definedName>
    <definedName name="area">[2]Areas!$I$84</definedName>
    <definedName name="Areas">[2]Areas!#REF!</definedName>
    <definedName name="BASEX">[5]Database!$F$24</definedName>
    <definedName name="bat">'[3]Schedule of Rates'!#REF!</definedName>
    <definedName name="BULK_EARTHW">Costplan!#REF!</definedName>
    <definedName name="CAVFDNS">[6]Database!$F$43</definedName>
    <definedName name="CEILINGS">Costplan!$D$196</definedName>
    <definedName name="Cfwk">'[3]Schedule of Rates'!$C$25</definedName>
    <definedName name="CLEAR">[5]Database!$F$20</definedName>
    <definedName name="CTF">[5]Database!$F$22</definedName>
    <definedName name="CTS">[5]Database!$F$23</definedName>
    <definedName name="currency">'[3]Initial Data'!$G$20</definedName>
    <definedName name="DD">Costplan!$D$305</definedName>
    <definedName name="dfdf">'[7]Initial Data'!$G$28</definedName>
    <definedName name="dfe">'[7]Initial Data'!$G$26</definedName>
    <definedName name="dsflkj">[8]Areas!$K$149</definedName>
    <definedName name="e.10">'[9]Cost Plan'!#REF!</definedName>
    <definedName name="e.11">'[9]Cost Plan'!#REF!</definedName>
    <definedName name="e.12">'[3]Cost Plan'!#REF!</definedName>
    <definedName name="e.13">'[9]Cost Plan'!#REF!</definedName>
    <definedName name="e.14">'[3]Cost Plan'!$A$2331</definedName>
    <definedName name="e.15">'[9]Cost Plan'!#REF!</definedName>
    <definedName name="e.16">'[9]Cost Plan'!#REF!</definedName>
    <definedName name="e.17">'[9]Cost Plan'!#REF!</definedName>
    <definedName name="e.18">'[9]Cost Plan'!#REF!</definedName>
    <definedName name="e.19">'[3]Cost Plan'!#REF!</definedName>
    <definedName name="e.20">'[9]Cost Plan'!#REF!</definedName>
    <definedName name="e.21">'[3]Cost Plan'!#REF!</definedName>
    <definedName name="e.22">'[9]Cost Plan'!#REF!</definedName>
    <definedName name="e.23">'[9]Cost Plan'!#REF!</definedName>
    <definedName name="e.24">'[3]Cost Plan'!#REF!</definedName>
    <definedName name="e.3">'[9]Cost Plan'!$A$34</definedName>
    <definedName name="e.5">'[3]Cost Plan'!$A$47</definedName>
    <definedName name="e.6">'[3]Cost Plan'!$A$54</definedName>
    <definedName name="e.7">'[3]Cost Plan'!#REF!</definedName>
    <definedName name="e.8">'[3]Cost Plan'!#REF!</definedName>
    <definedName name="e.9">'[3]Cost Plan'!$A$1058</definedName>
    <definedName name="ecp">[2]Rates!$D$118</definedName>
    <definedName name="ELECT">Costplan!#REF!</definedName>
    <definedName name="ERATE">[10]Database!$F$71</definedName>
    <definedName name="esca">#REF!</definedName>
    <definedName name="EURO">'[3]Initial Data'!$C$23</definedName>
    <definedName name="EXT_WALLS">Costplan!$D$33</definedName>
    <definedName name="EXT_WORKS">Costplan!#REF!</definedName>
    <definedName name="extpva">[2]Rates!$D$119</definedName>
    <definedName name="fill">[2]Rates!#REF!</definedName>
    <definedName name="FIRE">Costplan!#REF!</definedName>
    <definedName name="FITTINGS">Costplan!#REF!</definedName>
    <definedName name="FLOORS">Costplan!$D$121</definedName>
    <definedName name="flushdoor">[2]Rates!#REF!</definedName>
    <definedName name="FORMCOL">[6]Database!$F$61</definedName>
    <definedName name="FORMSLAB">[6]Database!$F$57</definedName>
    <definedName name="FORMWALL">[6]Database!$F$60</definedName>
    <definedName name="FOUNDATIONS">Costplan!#REF!</definedName>
    <definedName name="frmwkwall_95">[2]Rates!#REF!</definedName>
    <definedName name="frmwkwall_95_11">[2]Rates!#REF!</definedName>
    <definedName name="frmwrkwall_9.5">[2]Rates!#REF!</definedName>
    <definedName name="fwkwall_95">[2]Rates!#REF!</definedName>
    <definedName name="g5sb">[4]Rates!$D$73</definedName>
    <definedName name="gfr">#REF!</definedName>
    <definedName name="GROUND_FLOOR">Costplan!#REF!</definedName>
    <definedName name="H_RAIL_FE">[11]Database!$F$243</definedName>
    <definedName name="hardst">[12]Areas!$I$108</definedName>
    <definedName name="hg">'[7]Initial Data'!$G$28</definedName>
    <definedName name="HVAC">Costplan!#REF!</definedName>
    <definedName name="icptwo">[2]Rates!$D$159</definedName>
    <definedName name="icws">'[3]Initial Data'!$G$28</definedName>
    <definedName name="INT_WALLS">Costplan!$D$59</definedName>
    <definedName name="jhkt">'[13]Initial Data'!$G$28</definedName>
    <definedName name="KIT_AIR">[2]Rates!#REF!</definedName>
    <definedName name="kj">'[7]Initial Data'!$G$28</definedName>
    <definedName name="LIFTS">Costplan!#REF!</definedName>
    <definedName name="mesh245">[14]Rates!$D$64</definedName>
    <definedName name="mmm">[10]CostPlan!#REF!</definedName>
    <definedName name="MPA15FDNS">[6]Database!$F$34</definedName>
    <definedName name="MPA25FDNS">[6]Database!$F$35</definedName>
    <definedName name="MPA30SS">[6]Database!$F$54</definedName>
    <definedName name="mup">[2]Rates!$D$15</definedName>
    <definedName name="MURFAC">[10]Database!$F$73</definedName>
    <definedName name="obw">[2]Rates!$D$113</definedName>
    <definedName name="obwfdns">[6]Database!$F$42</definedName>
    <definedName name="OTHER_SERVICES">Costplan!#REF!</definedName>
    <definedName name="parking">[12]Areas!$I$94</definedName>
    <definedName name="PILING">Costplan!#REF!</definedName>
    <definedName name="PLATFORM">[6]Database!$F$45</definedName>
    <definedName name="PLUMB">Costplan!$D$229</definedName>
    <definedName name="Preliminaries">'[3]Cost Plan'!$A$31</definedName>
    <definedName name="prelimn">[2]Rates!#REF!</definedName>
    <definedName name="PRELIMS">Costplan!#REF!</definedName>
    <definedName name="_xlnm.Print_Area" localSheetId="1">Costplan!$B$1:$M$316</definedName>
    <definedName name="_xlnm.Print_Area" localSheetId="0">Summary!$B$1:$L$29</definedName>
    <definedName name="_xlnm.Print_Titles" localSheetId="1">Costplan!$1:$7</definedName>
    <definedName name="pvaintwall">[2]Rates!$D$160</definedName>
    <definedName name="rate">'[15]Initial Data'!$H$20</definedName>
    <definedName name="rmpa3">[2]Rates!#REF!</definedName>
    <definedName name="roads">[12]Areas!$I$101</definedName>
    <definedName name="ROOFS">Costplan!$D$10</definedName>
    <definedName name="s">'[7]Initial Data'!$G$26</definedName>
    <definedName name="SFLB">[2]Rates!#REF!</definedName>
    <definedName name="site">[12]Areas!$K$75</definedName>
    <definedName name="SOFTJNT">[6]Database!$F$50</definedName>
    <definedName name="STRIP">[5]Database!$F$21</definedName>
    <definedName name="STRUCT_FRAME">Costplan!#REF!</definedName>
    <definedName name="SUBBASE">[6]Database!$F$46</definedName>
    <definedName name="Sun">'[3]Initial Data'!$G$27</definedName>
    <definedName name="SUNDRIES">Costplan!#REF!</definedName>
    <definedName name="USD">'[3]Initial Data'!$C$22</definedName>
    <definedName name="vat">[2]Rates!#REF!</definedName>
    <definedName name="WALL_FINISHES">Costplan!$D$170</definedName>
    <definedName name="WALL420">[6]Database!$F$66</definedName>
    <definedName name="woodfloat">[2]Rates!#REF!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0" i="2" l="1"/>
  <c r="C307" i="2"/>
  <c r="D301" i="2"/>
  <c r="H292" i="2"/>
  <c r="H291" i="2"/>
  <c r="H290" i="2"/>
  <c r="H289" i="2"/>
  <c r="H283" i="2"/>
  <c r="H282" i="2"/>
  <c r="H281" i="2"/>
  <c r="H280" i="2"/>
  <c r="H279" i="2"/>
  <c r="H273" i="2"/>
  <c r="H272" i="2"/>
  <c r="H271" i="2"/>
  <c r="H270" i="2"/>
  <c r="H269" i="2"/>
  <c r="H268" i="2"/>
  <c r="H251" i="2"/>
  <c r="I250" i="2"/>
  <c r="I249" i="2"/>
  <c r="E243" i="2"/>
  <c r="E250" i="2" s="1"/>
  <c r="H250" i="2" s="1"/>
  <c r="E242" i="2"/>
  <c r="E249" i="2" s="1"/>
  <c r="H249" i="2" s="1"/>
  <c r="H236" i="2"/>
  <c r="H235" i="2"/>
  <c r="C231" i="2"/>
  <c r="C238" i="2" s="1"/>
  <c r="C245" i="2" s="1"/>
  <c r="C253" i="2" s="1"/>
  <c r="D225" i="2"/>
  <c r="H220" i="2"/>
  <c r="H219" i="2"/>
  <c r="H211" i="2"/>
  <c r="H203" i="2"/>
  <c r="H202" i="2"/>
  <c r="C198" i="2"/>
  <c r="C206" i="2" s="1"/>
  <c r="D194" i="2"/>
  <c r="H189" i="2"/>
  <c r="H188" i="2"/>
  <c r="H187" i="2"/>
  <c r="H186" i="2"/>
  <c r="H179" i="2"/>
  <c r="H178" i="2"/>
  <c r="C172" i="2"/>
  <c r="C181" i="2" s="1"/>
  <c r="C191" i="2" s="1"/>
  <c r="D168" i="2"/>
  <c r="H163" i="2"/>
  <c r="H162" i="2"/>
  <c r="H161" i="2"/>
  <c r="H160" i="2"/>
  <c r="J155" i="2"/>
  <c r="H153" i="2"/>
  <c r="E152" i="2"/>
  <c r="H152" i="2" s="1"/>
  <c r="H151" i="2"/>
  <c r="H145" i="2"/>
  <c r="E144" i="2"/>
  <c r="H144" i="2" s="1"/>
  <c r="H143" i="2"/>
  <c r="J139" i="2"/>
  <c r="H137" i="2"/>
  <c r="H136" i="2"/>
  <c r="H135" i="2"/>
  <c r="J131" i="2"/>
  <c r="H129" i="2"/>
  <c r="E128" i="2"/>
  <c r="H128" i="2" s="1"/>
  <c r="H127" i="2"/>
  <c r="C123" i="2"/>
  <c r="C131" i="2" s="1"/>
  <c r="C139" i="2" s="1"/>
  <c r="D119" i="2"/>
  <c r="J116" i="2"/>
  <c r="M116" i="2" s="1"/>
  <c r="H114" i="2"/>
  <c r="H113" i="2"/>
  <c r="H112" i="2"/>
  <c r="F111" i="2"/>
  <c r="H111" i="2" s="1"/>
  <c r="F110" i="2"/>
  <c r="H110" i="2" s="1"/>
  <c r="H103" i="2"/>
  <c r="H102" i="2"/>
  <c r="H101" i="2"/>
  <c r="H100" i="2"/>
  <c r="F99" i="2"/>
  <c r="H99" i="2" s="1"/>
  <c r="J94" i="2"/>
  <c r="J105" i="2" s="1"/>
  <c r="H89" i="2"/>
  <c r="E88" i="2"/>
  <c r="H88" i="2" s="1"/>
  <c r="E87" i="2"/>
  <c r="H87" i="2" s="1"/>
  <c r="E86" i="2"/>
  <c r="H86" i="2" s="1"/>
  <c r="E85" i="2"/>
  <c r="H85" i="2" s="1"/>
  <c r="H78" i="2"/>
  <c r="H77" i="2"/>
  <c r="D72" i="2"/>
  <c r="H70" i="2"/>
  <c r="F69" i="2"/>
  <c r="H69" i="2" s="1"/>
  <c r="F68" i="2"/>
  <c r="H68" i="2" s="1"/>
  <c r="F67" i="2"/>
  <c r="H67" i="2" s="1"/>
  <c r="F66" i="2"/>
  <c r="H66" i="2" s="1"/>
  <c r="C61" i="2"/>
  <c r="C116" i="2" s="1"/>
  <c r="D57" i="2"/>
  <c r="J54" i="2"/>
  <c r="M54" i="2" s="1"/>
  <c r="P54" i="2" s="1"/>
  <c r="F42" i="2"/>
  <c r="E42" i="2"/>
  <c r="F41" i="2"/>
  <c r="E41" i="2"/>
  <c r="F40" i="2"/>
  <c r="E40" i="2"/>
  <c r="C35" i="2"/>
  <c r="C45" i="2" s="1"/>
  <c r="C54" i="2" s="1"/>
  <c r="D31" i="2"/>
  <c r="H26" i="2"/>
  <c r="H25" i="2"/>
  <c r="H24" i="2"/>
  <c r="H23" i="2"/>
  <c r="E17" i="2"/>
  <c r="H17" i="2" s="1"/>
  <c r="E16" i="2"/>
  <c r="H16" i="2" s="1"/>
  <c r="C12" i="2"/>
  <c r="C19" i="2" s="1"/>
  <c r="C28" i="2" s="1"/>
  <c r="G27" i="1"/>
  <c r="C27" i="1"/>
  <c r="I24" i="1"/>
  <c r="H24" i="1"/>
  <c r="G24" i="1"/>
  <c r="C24" i="1"/>
  <c r="H22" i="1"/>
  <c r="G22" i="1"/>
  <c r="C22" i="1"/>
  <c r="H20" i="1"/>
  <c r="C20" i="1"/>
  <c r="H18" i="1"/>
  <c r="C18" i="1"/>
  <c r="V17" i="1"/>
  <c r="V15" i="1" s="1"/>
  <c r="H16" i="1"/>
  <c r="C16" i="1"/>
  <c r="H14" i="1"/>
  <c r="C14" i="1"/>
  <c r="H12" i="1"/>
  <c r="C12" i="1"/>
  <c r="H10" i="1"/>
  <c r="C10" i="1"/>
  <c r="H125" i="2" l="1"/>
  <c r="C214" i="2"/>
  <c r="C222" i="2" s="1"/>
  <c r="H83" i="2"/>
  <c r="H81" i="2" s="1"/>
  <c r="L81" i="2" s="1"/>
  <c r="P81" i="2" s="1"/>
  <c r="H233" i="2"/>
  <c r="H231" i="2" s="1"/>
  <c r="M231" i="2" s="1"/>
  <c r="Q231" i="2" s="1"/>
  <c r="H42" i="2"/>
  <c r="H97" i="2"/>
  <c r="E176" i="2"/>
  <c r="H176" i="2" s="1"/>
  <c r="H149" i="2"/>
  <c r="H147" i="2" s="1"/>
  <c r="M147" i="2" s="1"/>
  <c r="P147" i="2" s="1"/>
  <c r="H287" i="2"/>
  <c r="H285" i="2" s="1"/>
  <c r="L285" i="2" s="1"/>
  <c r="H200" i="2"/>
  <c r="H40" i="2"/>
  <c r="H108" i="2"/>
  <c r="E177" i="2" s="1"/>
  <c r="H177" i="2" s="1"/>
  <c r="H243" i="2"/>
  <c r="H277" i="2"/>
  <c r="H275" i="2" s="1"/>
  <c r="L275" i="2" s="1"/>
  <c r="H94" i="2"/>
  <c r="M94" i="2" s="1"/>
  <c r="H133" i="2"/>
  <c r="H131" i="2" s="1"/>
  <c r="M131" i="2" s="1"/>
  <c r="P131" i="2" s="1"/>
  <c r="H247" i="2"/>
  <c r="H245" i="2" s="1"/>
  <c r="M245" i="2" s="1"/>
  <c r="Q245" i="2" s="1"/>
  <c r="H266" i="2"/>
  <c r="H264" i="2" s="1"/>
  <c r="L264" i="2" s="1"/>
  <c r="H21" i="2"/>
  <c r="H19" i="2" s="1"/>
  <c r="M19" i="2" s="1"/>
  <c r="Q19" i="2" s="1"/>
  <c r="H141" i="2"/>
  <c r="H139" i="2" s="1"/>
  <c r="M139" i="2" s="1"/>
  <c r="P139" i="2" s="1"/>
  <c r="C147" i="2"/>
  <c r="C155" i="2" s="1"/>
  <c r="C165" i="2" s="1"/>
  <c r="H242" i="2"/>
  <c r="H14" i="2"/>
  <c r="H12" i="2" s="1"/>
  <c r="E210" i="2"/>
  <c r="H210" i="2" s="1"/>
  <c r="H208" i="2" s="1"/>
  <c r="H198" i="2"/>
  <c r="H64" i="2"/>
  <c r="H123" i="2"/>
  <c r="M123" i="2" s="1"/>
  <c r="C264" i="2"/>
  <c r="C275" i="2" s="1"/>
  <c r="C285" i="2" s="1"/>
  <c r="C294" i="2"/>
  <c r="C296" i="2" s="1"/>
  <c r="C298" i="2" s="1"/>
  <c r="C94" i="2"/>
  <c r="C105" i="2" s="1"/>
  <c r="C72" i="2"/>
  <c r="C81" i="2" s="1"/>
  <c r="C91" i="2" s="1"/>
  <c r="H41" i="2"/>
  <c r="P116" i="2"/>
  <c r="J191" i="2"/>
  <c r="M191" i="2" s="1"/>
  <c r="M253" i="2" l="1"/>
  <c r="H37" i="2"/>
  <c r="H35" i="2" s="1"/>
  <c r="E49" i="2" s="1"/>
  <c r="H49" i="2" s="1"/>
  <c r="H47" i="2" s="1"/>
  <c r="H45" i="2" s="1"/>
  <c r="M45" i="2" s="1"/>
  <c r="H206" i="2"/>
  <c r="M206" i="2" s="1"/>
  <c r="E218" i="2"/>
  <c r="H218" i="2" s="1"/>
  <c r="H216" i="2" s="1"/>
  <c r="H214" i="2" s="1"/>
  <c r="M214" i="2" s="1"/>
  <c r="F257" i="2"/>
  <c r="H257" i="2" s="1"/>
  <c r="F258" i="2"/>
  <c r="H258" i="2" s="1"/>
  <c r="F259" i="2"/>
  <c r="H259" i="2" s="1"/>
  <c r="H174" i="2"/>
  <c r="H172" i="2" s="1"/>
  <c r="H240" i="2"/>
  <c r="H238" i="2" s="1"/>
  <c r="M238" i="2" s="1"/>
  <c r="Q238" i="2" s="1"/>
  <c r="H105" i="2"/>
  <c r="M105" i="2" s="1"/>
  <c r="E159" i="2"/>
  <c r="H159" i="2" s="1"/>
  <c r="H157" i="2" s="1"/>
  <c r="H155" i="2" s="1"/>
  <c r="E76" i="2"/>
  <c r="H76" i="2" s="1"/>
  <c r="H74" i="2" s="1"/>
  <c r="H72" i="2" s="1"/>
  <c r="L72" i="2" s="1"/>
  <c r="H61" i="2"/>
  <c r="P191" i="2"/>
  <c r="M12" i="2"/>
  <c r="H31" i="2"/>
  <c r="G10" i="1" s="1"/>
  <c r="P214" i="2"/>
  <c r="Q206" i="2"/>
  <c r="P123" i="2"/>
  <c r="M198" i="2"/>
  <c r="E185" i="2" l="1"/>
  <c r="H185" i="2" s="1"/>
  <c r="H183" i="2" s="1"/>
  <c r="H181" i="2" s="1"/>
  <c r="M181" i="2" s="1"/>
  <c r="M35" i="2"/>
  <c r="H194" i="2"/>
  <c r="H225" i="2"/>
  <c r="G20" i="1" s="1"/>
  <c r="H255" i="2"/>
  <c r="H253" i="2" s="1"/>
  <c r="J253" i="2" s="1"/>
  <c r="H119" i="2"/>
  <c r="G14" i="1" s="1"/>
  <c r="H168" i="2"/>
  <c r="G16" i="1" s="1"/>
  <c r="M155" i="2"/>
  <c r="Q155" i="2" s="1"/>
  <c r="J165" i="2" s="1"/>
  <c r="M165" i="2" s="1"/>
  <c r="M168" i="2" s="1"/>
  <c r="J168" i="2" s="1"/>
  <c r="I16" i="1" s="1"/>
  <c r="K16" i="1"/>
  <c r="Q253" i="2"/>
  <c r="J294" i="2"/>
  <c r="M294" i="2" s="1"/>
  <c r="J296" i="2" s="1"/>
  <c r="M296" i="2" s="1"/>
  <c r="H57" i="2"/>
  <c r="G12" i="1" s="1"/>
  <c r="Q198" i="2"/>
  <c r="J222" i="2" s="1"/>
  <c r="M222" i="2" s="1"/>
  <c r="M225" i="2" s="1"/>
  <c r="P181" i="2"/>
  <c r="M57" i="2"/>
  <c r="P35" i="2"/>
  <c r="Q12" i="2"/>
  <c r="G18" i="1"/>
  <c r="M172" i="2"/>
  <c r="J91" i="2"/>
  <c r="L91" i="2" s="1"/>
  <c r="P72" i="2"/>
  <c r="P45" i="2"/>
  <c r="P165" i="2" l="1"/>
  <c r="R168" i="2" s="1"/>
  <c r="N168" i="2" s="1"/>
  <c r="J16" i="1"/>
  <c r="K20" i="1"/>
  <c r="J225" i="2"/>
  <c r="I20" i="1" s="1"/>
  <c r="J20" i="1"/>
  <c r="J28" i="2"/>
  <c r="M28" i="2" s="1"/>
  <c r="P222" i="2"/>
  <c r="R225" i="2" s="1"/>
  <c r="N225" i="2" s="1"/>
  <c r="Q296" i="2"/>
  <c r="P91" i="2"/>
  <c r="R119" i="2" s="1"/>
  <c r="R57" i="2"/>
  <c r="N57" i="2" s="1"/>
  <c r="Q294" i="2"/>
  <c r="M61" i="2"/>
  <c r="M194" i="2"/>
  <c r="P172" i="2"/>
  <c r="R194" i="2" s="1"/>
  <c r="N194" i="2" s="1"/>
  <c r="J57" i="2"/>
  <c r="I12" i="1" s="1"/>
  <c r="J12" i="1"/>
  <c r="K12" i="1"/>
  <c r="J298" i="2" l="1"/>
  <c r="M298" i="2" s="1"/>
  <c r="M301" i="2" s="1"/>
  <c r="Q304" i="2"/>
  <c r="Q316" i="2" s="1"/>
  <c r="K18" i="1"/>
  <c r="J194" i="2"/>
  <c r="I18" i="1" s="1"/>
  <c r="J18" i="1"/>
  <c r="P28" i="2"/>
  <c r="M31" i="2"/>
  <c r="J61" i="2"/>
  <c r="M119" i="2"/>
  <c r="P298" i="2" l="1"/>
  <c r="R301" i="2" s="1"/>
  <c r="N119" i="2"/>
  <c r="K14" i="1"/>
  <c r="J119" i="2"/>
  <c r="I14" i="1" s="1"/>
  <c r="J14" i="1"/>
  <c r="R31" i="2"/>
  <c r="J301" i="2"/>
  <c r="I22" i="1" s="1"/>
  <c r="N301" i="2"/>
  <c r="K22" i="1"/>
  <c r="J22" i="1"/>
  <c r="K10" i="1"/>
  <c r="J10" i="1"/>
  <c r="J31" i="2"/>
  <c r="I10" i="1" s="1"/>
  <c r="P304" i="2" l="1"/>
  <c r="P316" i="2" s="1"/>
  <c r="N31" i="2"/>
  <c r="N304" i="2" s="1"/>
  <c r="R304" i="2"/>
  <c r="J307" i="2" l="1"/>
  <c r="M307" i="2" s="1"/>
  <c r="M310" i="2" l="1"/>
  <c r="K24" i="1" l="1"/>
  <c r="K27" i="1" s="1"/>
  <c r="N310" i="2"/>
  <c r="N312" i="2" s="1"/>
  <c r="J24" i="1"/>
  <c r="Q307" i="2"/>
  <c r="Q312" i="2" s="1"/>
  <c r="P307" i="2"/>
  <c r="J27" i="1" l="1"/>
  <c r="R307" i="2"/>
  <c r="P312" i="2"/>
  <c r="R312" i="2" s="1"/>
  <c r="M314" i="2"/>
  <c r="I27" i="1" l="1"/>
  <c r="L16" i="1"/>
  <c r="L12" i="1"/>
  <c r="L20" i="1"/>
  <c r="L18" i="1"/>
  <c r="L10" i="1"/>
  <c r="L22" i="1"/>
  <c r="L14" i="1"/>
  <c r="J314" i="2"/>
  <c r="L24" i="1"/>
  <c r="L27" i="1" l="1"/>
</calcChain>
</file>

<file path=xl/sharedStrings.xml><?xml version="1.0" encoding="utf-8"?>
<sst xmlns="http://schemas.openxmlformats.org/spreadsheetml/2006/main" count="225" uniqueCount="89">
  <si>
    <t>Elemental Quantity</t>
  </si>
  <si>
    <t>Unit</t>
  </si>
  <si>
    <t>Rate/m² Element</t>
  </si>
  <si>
    <t>Total</t>
  </si>
  <si>
    <t>Rate/m² Building Area</t>
  </si>
  <si>
    <t>Percentage</t>
  </si>
  <si>
    <t>%</t>
  </si>
  <si>
    <t>Executive Summary</t>
  </si>
  <si>
    <t>m²</t>
  </si>
  <si>
    <t xml:space="preserve"> </t>
  </si>
  <si>
    <t xml:space="preserve">  CHECK FOR</t>
  </si>
  <si>
    <t>Quantity</t>
  </si>
  <si>
    <t>Unit Rate</t>
  </si>
  <si>
    <t>Subtotal</t>
  </si>
  <si>
    <t>PACKAGE</t>
  </si>
  <si>
    <t>BWP</t>
  </si>
  <si>
    <t>SELECTED</t>
  </si>
  <si>
    <t xml:space="preserve">  SUBTOTALS</t>
  </si>
  <si>
    <t xml:space="preserve">  / TOTALS</t>
  </si>
  <si>
    <t/>
  </si>
  <si>
    <t>Roofs</t>
  </si>
  <si>
    <t>Apply waterproofing to slate roof covering</t>
  </si>
  <si>
    <t>ROOFING</t>
  </si>
  <si>
    <t>main</t>
  </si>
  <si>
    <t>Provision for Rain Water goods</t>
  </si>
  <si>
    <t>m</t>
  </si>
  <si>
    <t>downpipes</t>
  </si>
  <si>
    <t>gutter</t>
  </si>
  <si>
    <t>Provision for contractors mark-up for profit and attendance on selected subcontractors work</t>
  </si>
  <si>
    <t>MARK-UP</t>
  </si>
  <si>
    <t>External Walling</t>
  </si>
  <si>
    <t>One coat plaster to external walls</t>
  </si>
  <si>
    <t>m high</t>
  </si>
  <si>
    <t>Prime, undercoat and PVA to walls</t>
  </si>
  <si>
    <t>Internal Divisions</t>
  </si>
  <si>
    <t>Break 220mm Brick walls to create an opening</t>
  </si>
  <si>
    <t>Door</t>
  </si>
  <si>
    <t>Precast lintel</t>
  </si>
  <si>
    <t xml:space="preserve">Sundries </t>
  </si>
  <si>
    <t>Take down and remove wallpaper to walls</t>
  </si>
  <si>
    <t>Take down and remove wall tiles</t>
  </si>
  <si>
    <t>Floor Finishes</t>
  </si>
  <si>
    <t>Take up and remove wooden floor covering</t>
  </si>
  <si>
    <t>Take up and remove carpets</t>
  </si>
  <si>
    <t>worshiphall</t>
  </si>
  <si>
    <t>stairs</t>
  </si>
  <si>
    <t>Breakdown and remove floor tiles</t>
  </si>
  <si>
    <t xml:space="preserve">Make good surfaces for new floor finish </t>
  </si>
  <si>
    <t>Allowance for ceramic floor tiles (PC = R 200/m²)</t>
  </si>
  <si>
    <t>TILING</t>
  </si>
  <si>
    <t>Internal Wall Finishings</t>
  </si>
  <si>
    <t xml:space="preserve">Make good walls and apply Two coat cement plaster </t>
  </si>
  <si>
    <t xml:space="preserve">Prime and undercoat to walls </t>
  </si>
  <si>
    <t>Ceilings</t>
  </si>
  <si>
    <t>Take down and remove ceiling and cornice</t>
  </si>
  <si>
    <t>CEILING</t>
  </si>
  <si>
    <t>PVA paint finish to flush plastered ceilings</t>
  </si>
  <si>
    <t>SERVICES</t>
  </si>
  <si>
    <t>Plumbing Installation</t>
  </si>
  <si>
    <t>Remove and replace external water reticulation</t>
  </si>
  <si>
    <t>No</t>
  </si>
  <si>
    <t>PLUMBING</t>
  </si>
  <si>
    <t>Bathrooms</t>
  </si>
  <si>
    <t>Kitchens</t>
  </si>
  <si>
    <t>Remove and replace external sewer reticulation</t>
  </si>
  <si>
    <t>Remove and replace internal reticulation</t>
  </si>
  <si>
    <t>Provision for breakdown and removing sanitary fittings</t>
  </si>
  <si>
    <t xml:space="preserve">whbs </t>
  </si>
  <si>
    <t xml:space="preserve">wc </t>
  </si>
  <si>
    <t>shower head</t>
  </si>
  <si>
    <t>Carefully remove wash hand basin, including taps, etc</t>
  </si>
  <si>
    <t>Carefully remove water closet, including concealed cistern, seat, cover, etc</t>
  </si>
  <si>
    <t>Carefully remove shower head, including flushvalve, etc</t>
  </si>
  <si>
    <t>Provision for plumbing sundries</t>
  </si>
  <si>
    <t>Provision for plumbing contractor P&amp;Gs</t>
  </si>
  <si>
    <t>SUNDRIES</t>
  </si>
  <si>
    <t>Contingency</t>
  </si>
  <si>
    <t>Provision for Construction Contingency</t>
  </si>
  <si>
    <t>DESIGN DEV</t>
  </si>
  <si>
    <t>COST PER m² OF CONSTRUCTION AREA</t>
  </si>
  <si>
    <t>775 Pretoria Chapter - Bible House</t>
  </si>
  <si>
    <t>Scheme 1 Revision 0</t>
  </si>
  <si>
    <t>Residential</t>
  </si>
  <si>
    <t>775BH/ Sch 1 Rev 0</t>
  </si>
  <si>
    <t>R/m²</t>
  </si>
  <si>
    <t>R</t>
  </si>
  <si>
    <t>hall</t>
  </si>
  <si>
    <t>New flush plastered ceiling</t>
  </si>
  <si>
    <t>BUILDER'S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</si>
</sst>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_)"/>
    <numFmt numFmtId="165" formatCode="#,##0.000_);\(#,##0.000\)"/>
    <numFmt numFmtId="166" formatCode=";;;"/>
    <numFmt numFmtId="167" formatCode="0.000_)"/>
    <numFmt numFmtId="168" formatCode="#,##0.00_ ;[Red]\-#,##0.00\ "/>
  </numFmts>
  <fonts count="18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Trebuchet MS"/>
      <family val="2"/>
    </font>
    <font>
      <sz val="10"/>
      <color indexed="8"/>
      <name val="Trebuchet MS"/>
      <family val="2"/>
    </font>
    <font>
      <b/>
      <sz val="10"/>
      <color indexed="8"/>
      <name val="Trebuchet MS"/>
      <family val="2"/>
    </font>
    <font>
      <sz val="10"/>
      <color theme="1"/>
      <name val="Arial"/>
      <family val="2"/>
    </font>
    <font>
      <b/>
      <sz val="10"/>
      <color theme="0"/>
      <name val="Trebuchet MS"/>
      <family val="2"/>
    </font>
    <font>
      <sz val="6"/>
      <name val="Trebuchet MS"/>
      <family val="2"/>
    </font>
    <font>
      <b/>
      <sz val="10"/>
      <name val="Trebuchet MS"/>
      <family val="2"/>
    </font>
    <font>
      <b/>
      <u/>
      <sz val="10"/>
      <color indexed="8"/>
      <name val="Trebuchet MS"/>
      <family val="2"/>
    </font>
    <font>
      <b/>
      <u/>
      <sz val="10"/>
      <name val="Trebuchet MS"/>
      <family val="2"/>
    </font>
    <font>
      <sz val="10"/>
      <color theme="0"/>
      <name val="Trebuchet MS"/>
      <family val="2"/>
    </font>
    <font>
      <sz val="10"/>
      <color theme="1"/>
      <name val="Trebuchet MS"/>
      <family val="2"/>
    </font>
    <font>
      <sz val="4"/>
      <color indexed="8"/>
      <name val="Trebuchet MS"/>
      <family val="2"/>
    </font>
    <font>
      <sz val="4"/>
      <name val="Trebuchet MS"/>
      <family val="2"/>
    </font>
    <font>
      <sz val="6"/>
      <color indexed="8"/>
      <name val="Trebuchet MS"/>
      <family val="2"/>
    </font>
    <font>
      <sz val="10"/>
      <color rgb="FF0070C0"/>
      <name val="Trebuchet MS"/>
      <family val="2"/>
    </font>
    <font>
      <sz val="8"/>
      <color indexed="8"/>
      <name val="Trebuchet MS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7" fontId="1" fillId="0" borderId="0"/>
  </cellStyleXfs>
  <cellXfs count="172">
    <xf numFmtId="0" fontId="0" fillId="0" borderId="0" xfId="0"/>
    <xf numFmtId="37" fontId="2" fillId="0" borderId="0" xfId="3" applyFont="1"/>
    <xf numFmtId="38" fontId="2" fillId="0" borderId="0" xfId="3" applyNumberFormat="1" applyFont="1"/>
    <xf numFmtId="37" fontId="4" fillId="0" borderId="0" xfId="3" applyFont="1"/>
    <xf numFmtId="37" fontId="2" fillId="0" borderId="0" xfId="3" applyFont="1" applyAlignment="1">
      <alignment horizontal="right"/>
    </xf>
    <xf numFmtId="37" fontId="3" fillId="0" borderId="0" xfId="3" applyFont="1"/>
    <xf numFmtId="15" fontId="2" fillId="0" borderId="0" xfId="3" applyNumberFormat="1" applyFont="1" applyAlignment="1">
      <alignment horizontal="right"/>
    </xf>
    <xf numFmtId="9" fontId="6" fillId="0" borderId="0" xfId="2" applyFont="1"/>
    <xf numFmtId="37" fontId="6" fillId="0" borderId="0" xfId="3" applyFont="1"/>
    <xf numFmtId="37" fontId="7" fillId="0" borderId="0" xfId="3" applyFont="1" applyAlignment="1">
      <alignment horizontal="right"/>
    </xf>
    <xf numFmtId="164" fontId="4" fillId="0" borderId="0" xfId="3" applyNumberFormat="1" applyFont="1"/>
    <xf numFmtId="39" fontId="3" fillId="0" borderId="1" xfId="3" applyNumberFormat="1" applyFont="1" applyBorder="1" applyAlignment="1">
      <alignment horizontal="centerContinuous" vertical="center" wrapText="1"/>
    </xf>
    <xf numFmtId="39" fontId="2" fillId="0" borderId="1" xfId="3" applyNumberFormat="1" applyFont="1" applyBorder="1" applyAlignment="1">
      <alignment horizontal="centerContinuous" vertical="center" wrapText="1"/>
    </xf>
    <xf numFmtId="37" fontId="2" fillId="0" borderId="1" xfId="3" applyFont="1" applyBorder="1" applyAlignment="1">
      <alignment horizontal="centerContinuous" vertical="center" wrapText="1"/>
    </xf>
    <xf numFmtId="37" fontId="2" fillId="0" borderId="1" xfId="3" applyFont="1" applyBorder="1" applyAlignment="1">
      <alignment horizontal="center" vertical="center" wrapText="1"/>
    </xf>
    <xf numFmtId="37" fontId="2" fillId="0" borderId="1" xfId="3" applyFont="1" applyBorder="1" applyAlignment="1">
      <alignment horizontal="center"/>
    </xf>
    <xf numFmtId="37" fontId="3" fillId="0" borderId="2" xfId="3" applyFont="1" applyBorder="1"/>
    <xf numFmtId="37" fontId="2" fillId="0" borderId="2" xfId="3" applyFont="1" applyBorder="1"/>
    <xf numFmtId="37" fontId="2" fillId="0" borderId="2" xfId="3" applyFont="1" applyBorder="1" applyAlignment="1">
      <alignment horizontal="center"/>
    </xf>
    <xf numFmtId="37" fontId="9" fillId="0" borderId="0" xfId="3" applyFont="1"/>
    <xf numFmtId="37" fontId="10" fillId="0" borderId="0" xfId="3" applyFont="1"/>
    <xf numFmtId="164" fontId="3" fillId="0" borderId="0" xfId="3" applyNumberFormat="1" applyFont="1"/>
    <xf numFmtId="37" fontId="2" fillId="0" borderId="0" xfId="3" applyFont="1" applyAlignment="1">
      <alignment vertical="top"/>
    </xf>
    <xf numFmtId="37" fontId="2" fillId="0" borderId="0" xfId="3" applyFont="1" applyAlignment="1">
      <alignment horizontal="center"/>
    </xf>
    <xf numFmtId="39" fontId="2" fillId="0" borderId="0" xfId="3" applyNumberFormat="1" applyFont="1" applyAlignment="1">
      <alignment horizontal="right"/>
    </xf>
    <xf numFmtId="10" fontId="2" fillId="0" borderId="0" xfId="3" applyNumberFormat="1" applyFont="1" applyAlignment="1">
      <alignment horizontal="right"/>
    </xf>
    <xf numFmtId="165" fontId="2" fillId="0" borderId="0" xfId="3" applyNumberFormat="1" applyFont="1"/>
    <xf numFmtId="9" fontId="2" fillId="0" borderId="0" xfId="2" applyFont="1"/>
    <xf numFmtId="37" fontId="2" fillId="0" borderId="1" xfId="3" applyFont="1" applyBorder="1" applyAlignment="1">
      <alignment horizontal="right"/>
    </xf>
    <xf numFmtId="39" fontId="2" fillId="0" borderId="1" xfId="3" applyNumberFormat="1" applyFont="1" applyBorder="1" applyAlignment="1">
      <alignment horizontal="right"/>
    </xf>
    <xf numFmtId="37" fontId="2" fillId="0" borderId="1" xfId="3" applyFont="1" applyBorder="1"/>
    <xf numFmtId="10" fontId="2" fillId="0" borderId="1" xfId="3" applyNumberFormat="1" applyFont="1" applyBorder="1" applyAlignment="1">
      <alignment horizontal="right"/>
    </xf>
    <xf numFmtId="37" fontId="8" fillId="0" borderId="3" xfId="3" applyFont="1" applyBorder="1" applyAlignment="1">
      <alignment horizontal="right"/>
    </xf>
    <xf numFmtId="37" fontId="8" fillId="0" borderId="3" xfId="3" applyFont="1" applyBorder="1" applyAlignment="1">
      <alignment horizontal="center"/>
    </xf>
    <xf numFmtId="39" fontId="8" fillId="0" borderId="3" xfId="3" applyNumberFormat="1" applyFont="1" applyBorder="1" applyAlignment="1">
      <alignment horizontal="right"/>
    </xf>
    <xf numFmtId="10" fontId="8" fillId="0" borderId="3" xfId="3" applyNumberFormat="1" applyFont="1" applyBorder="1" applyAlignment="1">
      <alignment horizontal="right"/>
    </xf>
    <xf numFmtId="37" fontId="11" fillId="0" borderId="0" xfId="3" applyFont="1"/>
    <xf numFmtId="37" fontId="2" fillId="0" borderId="0" xfId="3" applyFont="1" applyAlignment="1">
      <alignment horizontal="center" vertical="top"/>
    </xf>
    <xf numFmtId="37" fontId="3" fillId="0" borderId="0" xfId="3" applyFont="1" applyAlignment="1">
      <alignment vertical="top"/>
    </xf>
    <xf numFmtId="37" fontId="4" fillId="0" borderId="0" xfId="3" applyFont="1" applyAlignment="1">
      <alignment vertical="top"/>
    </xf>
    <xf numFmtId="37" fontId="2" fillId="0" borderId="0" xfId="3" applyFont="1" applyAlignment="1">
      <alignment horizontal="right" vertical="top"/>
    </xf>
    <xf numFmtId="10" fontId="12" fillId="0" borderId="0" xfId="0" applyNumberFormat="1" applyFont="1" applyAlignment="1">
      <alignment vertical="top"/>
    </xf>
    <xf numFmtId="37" fontId="12" fillId="0" borderId="0" xfId="0" applyNumberFormat="1" applyFont="1" applyAlignment="1">
      <alignment vertical="top"/>
    </xf>
    <xf numFmtId="15" fontId="2" fillId="0" borderId="0" xfId="3" applyNumberFormat="1" applyFont="1" applyAlignment="1">
      <alignment horizontal="right" vertical="top"/>
    </xf>
    <xf numFmtId="37" fontId="2" fillId="0" borderId="0" xfId="0" applyNumberFormat="1" applyFont="1" applyAlignment="1">
      <alignment vertical="top"/>
    </xf>
    <xf numFmtId="37" fontId="7" fillId="0" borderId="0" xfId="3" applyFont="1" applyAlignment="1">
      <alignment horizontal="right" vertical="top"/>
    </xf>
    <xf numFmtId="37" fontId="13" fillId="0" borderId="0" xfId="3" applyFont="1" applyAlignment="1">
      <alignment vertical="top"/>
    </xf>
    <xf numFmtId="37" fontId="13" fillId="0" borderId="2" xfId="3" applyFont="1" applyBorder="1" applyAlignment="1">
      <alignment vertical="top"/>
    </xf>
    <xf numFmtId="37" fontId="14" fillId="0" borderId="2" xfId="3" applyFont="1" applyBorder="1" applyAlignment="1">
      <alignment vertical="top"/>
    </xf>
    <xf numFmtId="166" fontId="14" fillId="0" borderId="2" xfId="3" applyNumberFormat="1" applyFont="1" applyBorder="1" applyAlignment="1">
      <alignment vertical="top"/>
    </xf>
    <xf numFmtId="37" fontId="14" fillId="0" borderId="2" xfId="3" applyFont="1" applyBorder="1" applyAlignment="1">
      <alignment horizontal="left" vertical="top"/>
    </xf>
    <xf numFmtId="37" fontId="14" fillId="0" borderId="0" xfId="3" applyFont="1" applyAlignment="1">
      <alignment vertical="top"/>
    </xf>
    <xf numFmtId="37" fontId="2" fillId="0" borderId="4" xfId="3" applyFont="1" applyBorder="1" applyAlignment="1">
      <alignment horizontal="center" vertical="top"/>
    </xf>
    <xf numFmtId="37" fontId="2" fillId="0" borderId="5" xfId="3" applyFont="1" applyBorder="1" applyAlignment="1">
      <alignment vertical="top"/>
    </xf>
    <xf numFmtId="37" fontId="8" fillId="0" borderId="6" xfId="3" applyFont="1" applyBorder="1" applyAlignment="1">
      <alignment vertical="top"/>
    </xf>
    <xf numFmtId="9" fontId="2" fillId="0" borderId="0" xfId="2" applyFont="1" applyFill="1" applyAlignment="1">
      <alignment horizontal="left" vertical="top"/>
    </xf>
    <xf numFmtId="37" fontId="3" fillId="0" borderId="0" xfId="3" applyFont="1" applyAlignment="1">
      <alignment horizontal="center" vertical="top" wrapText="1"/>
    </xf>
    <xf numFmtId="166" fontId="3" fillId="0" borderId="0" xfId="3" applyNumberFormat="1" applyFont="1" applyAlignment="1">
      <alignment horizontal="centerContinuous" vertical="top" wrapText="1"/>
    </xf>
    <xf numFmtId="39" fontId="2" fillId="0" borderId="0" xfId="3" applyNumberFormat="1" applyFont="1" applyAlignment="1">
      <alignment horizontal="centerContinuous" vertical="top" wrapText="1"/>
    </xf>
    <xf numFmtId="166" fontId="2" fillId="0" borderId="0" xfId="3" applyNumberFormat="1" applyFont="1" applyAlignment="1">
      <alignment horizontal="centerContinuous" vertical="top" wrapText="1"/>
    </xf>
    <xf numFmtId="37" fontId="2" fillId="0" borderId="0" xfId="3" applyFont="1" applyAlignment="1">
      <alignment horizontal="centerContinuous" vertical="top" wrapText="1"/>
    </xf>
    <xf numFmtId="37" fontId="2" fillId="0" borderId="0" xfId="3" applyFont="1" applyAlignment="1">
      <alignment horizontal="center" vertical="top" wrapText="1"/>
    </xf>
    <xf numFmtId="37" fontId="8" fillId="0" borderId="7" xfId="3" applyFont="1" applyBorder="1" applyAlignment="1">
      <alignment horizontal="center" vertical="top"/>
    </xf>
    <xf numFmtId="37" fontId="8" fillId="0" borderId="8" xfId="3" applyFont="1" applyBorder="1" applyAlignment="1">
      <alignment horizontal="center" vertical="top"/>
    </xf>
    <xf numFmtId="37" fontId="8" fillId="0" borderId="9" xfId="3" applyFont="1" applyBorder="1" applyAlignment="1">
      <alignment vertical="top"/>
    </xf>
    <xf numFmtId="166" fontId="3" fillId="0" borderId="2" xfId="3" applyNumberFormat="1" applyFont="1" applyBorder="1" applyAlignment="1">
      <alignment vertical="top"/>
    </xf>
    <xf numFmtId="37" fontId="2" fillId="0" borderId="2" xfId="3" applyFont="1" applyBorder="1" applyAlignment="1">
      <alignment vertical="top"/>
    </xf>
    <xf numFmtId="166" fontId="2" fillId="0" borderId="2" xfId="3" applyNumberFormat="1" applyFont="1" applyBorder="1" applyAlignment="1">
      <alignment vertical="top"/>
    </xf>
    <xf numFmtId="37" fontId="2" fillId="0" borderId="2" xfId="3" applyFont="1" applyBorder="1" applyAlignment="1">
      <alignment horizontal="center" vertical="top"/>
    </xf>
    <xf numFmtId="37" fontId="2" fillId="0" borderId="10" xfId="3" applyFont="1" applyBorder="1" applyAlignment="1">
      <alignment horizontal="center" vertical="top"/>
    </xf>
    <xf numFmtId="37" fontId="2" fillId="0" borderId="11" xfId="3" applyFont="1" applyBorder="1" applyAlignment="1">
      <alignment vertical="top"/>
    </xf>
    <xf numFmtId="37" fontId="8" fillId="0" borderId="12" xfId="3" applyFont="1" applyBorder="1" applyAlignment="1">
      <alignment vertical="top"/>
    </xf>
    <xf numFmtId="37" fontId="15" fillId="0" borderId="0" xfId="3" applyFont="1" applyAlignment="1">
      <alignment vertical="top"/>
    </xf>
    <xf numFmtId="166" fontId="15" fillId="0" borderId="0" xfId="3" applyNumberFormat="1" applyFont="1" applyAlignment="1">
      <alignment vertical="top"/>
    </xf>
    <xf numFmtId="37" fontId="7" fillId="0" borderId="0" xfId="3" applyFont="1" applyAlignment="1">
      <alignment vertical="top"/>
    </xf>
    <xf numFmtId="166" fontId="7" fillId="0" borderId="0" xfId="3" applyNumberFormat="1" applyFont="1" applyAlignment="1">
      <alignment vertical="top"/>
    </xf>
    <xf numFmtId="37" fontId="2" fillId="0" borderId="7" xfId="3" applyFont="1" applyBorder="1" applyAlignment="1">
      <alignment horizontal="center" vertical="top"/>
    </xf>
    <xf numFmtId="37" fontId="2" fillId="0" borderId="8" xfId="3" applyFont="1" applyBorder="1" applyAlignment="1">
      <alignment vertical="top"/>
    </xf>
    <xf numFmtId="37" fontId="2" fillId="0" borderId="9" xfId="3" applyFont="1" applyBorder="1" applyAlignment="1">
      <alignment vertical="top"/>
    </xf>
    <xf numFmtId="37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37" fontId="10" fillId="0" borderId="0" xfId="0" applyNumberFormat="1" applyFont="1" applyAlignment="1">
      <alignment horizontal="justify" vertical="top" wrapText="1"/>
    </xf>
    <xf numFmtId="37" fontId="12" fillId="0" borderId="7" xfId="0" applyNumberFormat="1" applyFont="1" applyBorder="1" applyAlignment="1">
      <alignment horizontal="center" vertical="top"/>
    </xf>
    <xf numFmtId="37" fontId="12" fillId="0" borderId="8" xfId="0" applyNumberFormat="1" applyFont="1" applyBorder="1" applyAlignment="1">
      <alignment vertical="top"/>
    </xf>
    <xf numFmtId="37" fontId="12" fillId="0" borderId="9" xfId="0" applyNumberFormat="1" applyFont="1" applyBorder="1" applyAlignment="1">
      <alignment vertical="top"/>
    </xf>
    <xf numFmtId="37" fontId="10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39" fontId="12" fillId="0" borderId="0" xfId="0" applyNumberFormat="1" applyFont="1" applyAlignment="1">
      <alignment vertical="top"/>
    </xf>
    <xf numFmtId="37" fontId="12" fillId="0" borderId="1" xfId="0" applyNumberFormat="1" applyFont="1" applyBorder="1" applyAlignment="1">
      <alignment vertical="top"/>
    </xf>
    <xf numFmtId="37" fontId="8" fillId="0" borderId="3" xfId="0" applyNumberFormat="1" applyFont="1" applyBorder="1" applyAlignment="1">
      <alignment vertical="top"/>
    </xf>
    <xf numFmtId="37" fontId="8" fillId="0" borderId="3" xfId="0" applyNumberFormat="1" applyFont="1" applyBorder="1" applyAlignment="1">
      <alignment horizontal="center" vertical="top"/>
    </xf>
    <xf numFmtId="39" fontId="8" fillId="0" borderId="3" xfId="0" applyNumberFormat="1" applyFont="1" applyBorder="1" applyAlignment="1">
      <alignment vertical="top"/>
    </xf>
    <xf numFmtId="37" fontId="12" fillId="0" borderId="10" xfId="0" applyNumberFormat="1" applyFont="1" applyBorder="1" applyAlignment="1">
      <alignment horizontal="center" vertical="top"/>
    </xf>
    <xf numFmtId="37" fontId="12" fillId="0" borderId="11" xfId="0" applyNumberFormat="1" applyFont="1" applyBorder="1" applyAlignment="1">
      <alignment vertical="top"/>
    </xf>
    <xf numFmtId="37" fontId="12" fillId="0" borderId="12" xfId="0" applyNumberFormat="1" applyFont="1" applyBorder="1" applyAlignment="1">
      <alignment vertical="top"/>
    </xf>
    <xf numFmtId="37" fontId="12" fillId="0" borderId="8" xfId="0" applyNumberFormat="1" applyFont="1" applyBorder="1" applyAlignment="1">
      <alignment horizontal="center" vertical="top"/>
    </xf>
    <xf numFmtId="37" fontId="12" fillId="0" borderId="13" xfId="0" applyNumberFormat="1" applyFont="1" applyBorder="1" applyAlignment="1">
      <alignment vertical="top"/>
    </xf>
    <xf numFmtId="37" fontId="10" fillId="0" borderId="0" xfId="0" applyNumberFormat="1" applyFont="1" applyAlignment="1">
      <alignment horizontal="centerContinuous" vertical="top" wrapText="1"/>
    </xf>
    <xf numFmtId="37" fontId="2" fillId="0" borderId="0" xfId="0" applyNumberFormat="1" applyFont="1" applyAlignment="1">
      <alignment horizontal="centerContinuous" vertical="top" wrapText="1"/>
    </xf>
    <xf numFmtId="37" fontId="12" fillId="0" borderId="0" xfId="0" applyNumberFormat="1" applyFont="1" applyAlignment="1">
      <alignment horizontal="center" vertical="top"/>
    </xf>
    <xf numFmtId="37" fontId="2" fillId="0" borderId="0" xfId="0" applyNumberFormat="1" applyFont="1" applyAlignment="1">
      <alignment horizontal="center" vertical="top"/>
    </xf>
    <xf numFmtId="40" fontId="16" fillId="0" borderId="0" xfId="0" applyNumberFormat="1" applyFont="1" applyAlignment="1">
      <alignment vertical="top"/>
    </xf>
    <xf numFmtId="37" fontId="2" fillId="0" borderId="0" xfId="0" applyNumberFormat="1" applyFont="1" applyAlignment="1">
      <alignment horizontal="left" vertical="top"/>
    </xf>
    <xf numFmtId="37" fontId="12" fillId="0" borderId="0" xfId="0" quotePrefix="1" applyNumberFormat="1" applyFont="1" applyAlignment="1">
      <alignment horizontal="left" vertical="top"/>
    </xf>
    <xf numFmtId="164" fontId="16" fillId="0" borderId="0" xfId="0" applyNumberFormat="1" applyFont="1" applyAlignment="1">
      <alignment vertical="top"/>
    </xf>
    <xf numFmtId="37" fontId="16" fillId="0" borderId="0" xfId="0" applyNumberFormat="1" applyFont="1" applyAlignment="1">
      <alignment vertical="top"/>
    </xf>
    <xf numFmtId="37" fontId="16" fillId="0" borderId="14" xfId="0" applyNumberFormat="1" applyFont="1" applyBorder="1" applyAlignment="1">
      <alignment vertical="top"/>
    </xf>
    <xf numFmtId="37" fontId="16" fillId="0" borderId="15" xfId="0" applyNumberFormat="1" applyFont="1" applyBorder="1" applyAlignment="1">
      <alignment vertical="top"/>
    </xf>
    <xf numFmtId="37" fontId="16" fillId="0" borderId="9" xfId="0" applyNumberFormat="1" applyFont="1" applyBorder="1" applyAlignment="1">
      <alignment vertical="top"/>
    </xf>
    <xf numFmtId="40" fontId="16" fillId="0" borderId="0" xfId="0" applyNumberFormat="1" applyFont="1" applyAlignment="1">
      <alignment horizontal="centerContinuous" vertical="top" wrapText="1"/>
    </xf>
    <xf numFmtId="167" fontId="3" fillId="0" borderId="0" xfId="0" applyNumberFormat="1" applyFont="1" applyAlignment="1">
      <alignment vertical="top"/>
    </xf>
    <xf numFmtId="167" fontId="16" fillId="0" borderId="0" xfId="0" applyNumberFormat="1" applyFont="1" applyAlignment="1">
      <alignment vertical="top"/>
    </xf>
    <xf numFmtId="10" fontId="16" fillId="0" borderId="0" xfId="0" applyNumberFormat="1" applyFont="1" applyAlignment="1">
      <alignment vertical="top"/>
    </xf>
    <xf numFmtId="37" fontId="16" fillId="0" borderId="0" xfId="0" applyNumberFormat="1" applyFont="1" applyAlignment="1">
      <alignment horizontal="center" vertical="top"/>
    </xf>
    <xf numFmtId="39" fontId="16" fillId="0" borderId="0" xfId="0" applyNumberFormat="1" applyFont="1" applyAlignment="1">
      <alignment vertical="top"/>
    </xf>
    <xf numFmtId="37" fontId="16" fillId="0" borderId="7" xfId="0" applyNumberFormat="1" applyFont="1" applyBorder="1" applyAlignment="1">
      <alignment horizontal="center" vertical="top"/>
    </xf>
    <xf numFmtId="37" fontId="16" fillId="0" borderId="13" xfId="0" applyNumberFormat="1" applyFont="1" applyBorder="1" applyAlignment="1">
      <alignment vertical="top"/>
    </xf>
    <xf numFmtId="43" fontId="16" fillId="0" borderId="0" xfId="1" applyFont="1" applyFill="1" applyAlignment="1">
      <alignment vertical="top"/>
    </xf>
    <xf numFmtId="37" fontId="16" fillId="0" borderId="8" xfId="0" applyNumberFormat="1" applyFont="1" applyBorder="1" applyAlignment="1">
      <alignment vertical="top"/>
    </xf>
    <xf numFmtId="40" fontId="16" fillId="0" borderId="0" xfId="0" quotePrefix="1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43" fontId="12" fillId="0" borderId="0" xfId="1" applyFont="1" applyFill="1" applyAlignment="1">
      <alignment vertical="top"/>
    </xf>
    <xf numFmtId="37" fontId="2" fillId="0" borderId="0" xfId="0" applyNumberFormat="1" applyFont="1"/>
    <xf numFmtId="164" fontId="2" fillId="0" borderId="0" xfId="0" applyNumberFormat="1" applyFont="1" applyAlignment="1">
      <alignment vertical="top"/>
    </xf>
    <xf numFmtId="39" fontId="2" fillId="0" borderId="0" xfId="0" applyNumberFormat="1" applyFont="1" applyAlignment="1">
      <alignment vertical="top"/>
    </xf>
    <xf numFmtId="40" fontId="2" fillId="0" borderId="0" xfId="0" applyNumberFormat="1" applyFont="1" applyAlignment="1">
      <alignment vertical="top"/>
    </xf>
    <xf numFmtId="37" fontId="2" fillId="0" borderId="14" xfId="0" applyNumberFormat="1" applyFont="1" applyBorder="1" applyAlignment="1">
      <alignment vertical="top"/>
    </xf>
    <xf numFmtId="37" fontId="2" fillId="0" borderId="15" xfId="0" applyNumberFormat="1" applyFont="1" applyBorder="1" applyAlignment="1">
      <alignment vertical="top"/>
    </xf>
    <xf numFmtId="37" fontId="2" fillId="0" borderId="9" xfId="0" applyNumberFormat="1" applyFont="1" applyBorder="1" applyAlignment="1">
      <alignment vertical="top"/>
    </xf>
    <xf numFmtId="40" fontId="2" fillId="0" borderId="0" xfId="0" applyNumberFormat="1" applyFont="1" applyAlignment="1">
      <alignment horizontal="centerContinuous" vertical="top" wrapText="1"/>
    </xf>
    <xf numFmtId="40" fontId="12" fillId="0" borderId="0" xfId="0" applyNumberFormat="1" applyFont="1" applyAlignment="1">
      <alignment vertical="top"/>
    </xf>
    <xf numFmtId="39" fontId="3" fillId="0" borderId="0" xfId="0" applyNumberFormat="1" applyFont="1" applyAlignment="1">
      <alignment vertical="top"/>
    </xf>
    <xf numFmtId="39" fontId="12" fillId="0" borderId="0" xfId="0" applyNumberFormat="1" applyFont="1" applyAlignment="1">
      <alignment horizontal="center" vertical="top"/>
    </xf>
    <xf numFmtId="166" fontId="12" fillId="0" borderId="0" xfId="0" applyNumberFormat="1" applyFont="1" applyAlignment="1">
      <alignment vertical="top"/>
    </xf>
    <xf numFmtId="43" fontId="12" fillId="0" borderId="0" xfId="1" applyFont="1" applyFill="1" applyAlignment="1" applyProtection="1">
      <alignment vertical="top"/>
    </xf>
    <xf numFmtId="39" fontId="12" fillId="0" borderId="7" xfId="0" applyNumberFormat="1" applyFont="1" applyBorder="1" applyAlignment="1">
      <alignment horizontal="center" vertical="top"/>
    </xf>
    <xf numFmtId="39" fontId="12" fillId="0" borderId="8" xfId="0" applyNumberFormat="1" applyFont="1" applyBorder="1" applyAlignment="1">
      <alignment vertical="top"/>
    </xf>
    <xf numFmtId="37" fontId="12" fillId="0" borderId="0" xfId="0" applyNumberFormat="1" applyFont="1" applyAlignment="1">
      <alignment horizontal="justify" vertical="top" wrapText="1"/>
    </xf>
    <xf numFmtId="38" fontId="12" fillId="0" borderId="16" xfId="0" applyNumberFormat="1" applyFont="1" applyBorder="1" applyAlignment="1">
      <alignment vertical="top"/>
    </xf>
    <xf numFmtId="37" fontId="12" fillId="0" borderId="5" xfId="0" applyNumberFormat="1" applyFont="1" applyBorder="1" applyAlignment="1">
      <alignment horizontal="center" vertical="top"/>
    </xf>
    <xf numFmtId="38" fontId="12" fillId="0" borderId="5" xfId="0" applyNumberFormat="1" applyFont="1" applyBorder="1" applyAlignment="1">
      <alignment vertical="top"/>
    </xf>
    <xf numFmtId="37" fontId="12" fillId="0" borderId="5" xfId="0" applyNumberFormat="1" applyFont="1" applyBorder="1" applyAlignment="1">
      <alignment vertical="top"/>
    </xf>
    <xf numFmtId="37" fontId="12" fillId="0" borderId="2" xfId="0" applyNumberFormat="1" applyFont="1" applyBorder="1" applyAlignment="1">
      <alignment vertical="top"/>
    </xf>
    <xf numFmtId="37" fontId="12" fillId="0" borderId="11" xfId="0" applyNumberFormat="1" applyFont="1" applyBorder="1" applyAlignment="1">
      <alignment horizontal="center" vertical="top"/>
    </xf>
    <xf numFmtId="164" fontId="3" fillId="0" borderId="0" xfId="3" applyNumberFormat="1" applyFont="1" applyAlignment="1">
      <alignment vertical="top"/>
    </xf>
    <xf numFmtId="164" fontId="17" fillId="0" borderId="0" xfId="3" applyNumberFormat="1" applyFont="1" applyAlignment="1">
      <alignment vertical="top"/>
    </xf>
    <xf numFmtId="38" fontId="8" fillId="0" borderId="0" xfId="3" applyNumberFormat="1" applyFont="1" applyAlignment="1">
      <alignment horizontal="center" wrapText="1"/>
    </xf>
    <xf numFmtId="38" fontId="8" fillId="0" borderId="0" xfId="3" applyNumberFormat="1" applyFont="1" applyAlignment="1">
      <alignment horizontal="center"/>
    </xf>
    <xf numFmtId="38" fontId="2" fillId="0" borderId="0" xfId="3" applyNumberFormat="1" applyFont="1" applyAlignment="1">
      <alignment horizontal="right"/>
    </xf>
    <xf numFmtId="38" fontId="8" fillId="0" borderId="0" xfId="3" applyNumberFormat="1" applyFont="1" applyAlignment="1">
      <alignment horizontal="right"/>
    </xf>
    <xf numFmtId="38" fontId="8" fillId="0" borderId="0" xfId="3" applyNumberFormat="1" applyFont="1"/>
    <xf numFmtId="37" fontId="12" fillId="0" borderId="0" xfId="0" applyNumberFormat="1" applyFont="1" applyAlignment="1">
      <alignment horizontal="right" vertical="top"/>
    </xf>
    <xf numFmtId="43" fontId="16" fillId="0" borderId="0" xfId="1" applyFont="1" applyFill="1" applyAlignment="1" applyProtection="1">
      <alignment vertical="top"/>
    </xf>
    <xf numFmtId="37" fontId="12" fillId="0" borderId="9" xfId="0" applyNumberFormat="1" applyFont="1" applyBorder="1" applyAlignment="1">
      <alignment horizontal="right" vertical="top"/>
    </xf>
    <xf numFmtId="43" fontId="12" fillId="0" borderId="0" xfId="1" applyFont="1" applyFill="1" applyAlignment="1">
      <alignment horizontal="right" vertical="top"/>
    </xf>
    <xf numFmtId="37" fontId="6" fillId="0" borderId="0" xfId="0" quotePrefix="1" applyNumberFormat="1" applyFont="1" applyAlignment="1">
      <alignment vertical="top"/>
    </xf>
    <xf numFmtId="37" fontId="10" fillId="0" borderId="0" xfId="3" applyFont="1" applyAlignment="1">
      <alignment horizontal="justify" vertical="top" wrapText="1"/>
    </xf>
    <xf numFmtId="37" fontId="2" fillId="0" borderId="0" xfId="3" applyFont="1" applyAlignment="1">
      <alignment horizontal="justify" vertical="top" wrapText="1"/>
    </xf>
    <xf numFmtId="37" fontId="8" fillId="0" borderId="0" xfId="3" applyFont="1" applyAlignment="1">
      <alignment horizontal="justify" vertical="top" wrapText="1"/>
    </xf>
    <xf numFmtId="37" fontId="10" fillId="0" borderId="0" xfId="0" applyNumberFormat="1" applyFont="1" applyAlignment="1">
      <alignment horizontal="justify" vertical="top" wrapText="1"/>
    </xf>
    <xf numFmtId="37" fontId="12" fillId="0" borderId="0" xfId="0" applyNumberFormat="1" applyFont="1" applyAlignment="1">
      <alignment horizontal="justify" vertical="top" wrapText="1"/>
    </xf>
    <xf numFmtId="37" fontId="8" fillId="0" borderId="0" xfId="0" applyNumberFormat="1" applyFont="1" applyAlignment="1">
      <alignment horizontal="justify" vertical="top" wrapText="1"/>
    </xf>
    <xf numFmtId="37" fontId="2" fillId="0" borderId="0" xfId="0" applyNumberFormat="1" applyFont="1" applyAlignment="1">
      <alignment horizontal="justify" vertical="top" wrapText="1"/>
    </xf>
    <xf numFmtId="37" fontId="2" fillId="0" borderId="0" xfId="0" quotePrefix="1" applyNumberFormat="1" applyFont="1" applyAlignment="1">
      <alignment horizontal="left" vertical="top" wrapText="1"/>
    </xf>
    <xf numFmtId="37" fontId="2" fillId="0" borderId="0" xfId="0" applyNumberFormat="1" applyFont="1" applyAlignment="1">
      <alignment horizontal="left" vertical="top" wrapText="1"/>
    </xf>
    <xf numFmtId="168" fontId="16" fillId="0" borderId="0" xfId="0" applyNumberFormat="1" applyFont="1" applyAlignment="1">
      <alignment horizontal="left" vertical="top" wrapText="1"/>
    </xf>
    <xf numFmtId="168" fontId="16" fillId="0" borderId="0" xfId="0" applyNumberFormat="1" applyFont="1" applyAlignment="1">
      <alignment horizontal="justify" vertical="top" wrapText="1"/>
    </xf>
    <xf numFmtId="37" fontId="16" fillId="0" borderId="0" xfId="0" applyNumberFormat="1" applyFont="1" applyAlignment="1">
      <alignment horizontal="justify" vertical="top" wrapText="1"/>
    </xf>
    <xf numFmtId="39" fontId="2" fillId="0" borderId="0" xfId="0" applyNumberFormat="1" applyFont="1" applyAlignment="1">
      <alignment vertical="top" wrapText="1"/>
    </xf>
    <xf numFmtId="0" fontId="12" fillId="0" borderId="0" xfId="0" applyFont="1" applyAlignment="1">
      <alignment vertical="top" wrapText="1"/>
    </xf>
    <xf numFmtId="37" fontId="16" fillId="0" borderId="0" xfId="0" applyNumberFormat="1" applyFont="1" applyAlignment="1">
      <alignment horizontal="left" vertical="top" wrapText="1"/>
    </xf>
    <xf numFmtId="39" fontId="2" fillId="0" borderId="0" xfId="0" applyNumberFormat="1" applyFont="1" applyAlignment="1">
      <alignment horizontal="justify" vertical="top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4479.sharepoint.com/Mauritius/5769%20-%20ENL%20Office%20Park/3/Sch%2011/Copy%20of%20B-%20Cost%20Plan%20Building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775%20Bible%20House%20-%20S1R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c01\MLCQS\Documents%20and%20Settings\ynabeemeeah\My%20Documents\5350E%20IRS%20Parcel%20E\Parcel%20E\Budgets\Scheme%202%20July%2007\Cost%20Plans%20MLC\Type%201%20APRIL%202007MLC\Villa%201%2004%2007%2007%20-%20building%20(YN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4479-my.sharepoint.com/personal/rgrobbelaar_mlc_co_za/Documents/MLC-JHB/7634%20-%20Fedex%20Warehouse/03.Cost%20Plan/S1R0/7418%20-%20ERF%202245%20Exp%20-%20CP%20-%20Warehouse%20-%20Sch%201%20Rev%200%20(2018-02-13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4479.sharepoint.com/MLC%20Jobs/6391%20-%20Blue%20Sky/3/6281%20-%20Sch%203/Warehouse%20-%20Cost%20plan%20-%20Sch%203%20(2011-07-25)%20-%20formatted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rchive\Paul\4846-Worcester%20on%20Mlcserver\3\Sch4\retail%20bld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users\VDA\Anahita%20260207\IRS%20VILLAS%20@%20ANAHITA%2013.02.07\Type%202\IRS%20House%202%20(REV%20JMB)-%20BUILDING%2001.03.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c01\MLCQS\Shilpa\My%20Documents\5769%20-%20Telfair%20Office%20Park\Cost%20Plans\Cost%20Plan%20PW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c01\MLCQS\Shilpa\My%20Documents\5435%20-%20Jardin%20De%20Beauchamps\SCHEME%205\Golf%20Villa\A%20-Cost%20plan%20villas%20rev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c01\MLCQS\Shilpa\My%20Documents\5769%20-%20Telfair%20Office%20Park\Scheme%208\Cost%20Plans\A%20-%20Telfair%20Park%20Cost%20Plan%20Basement2%20S8R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4479.sharepoint.com/5191%20-%20V&amp;%20A%20Link%20Mall/3/Sch%201r6/Bldg%20sch%201r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4479.sharepoint.com/MLC%20Jobs/6686%20-%20DHL%20Global%20Forwarding/3/Sch%201%20Rev%202/6687%20-%20Cost%20Plan%20-%20External%20Works%20-%20Sch%201%20Rev%201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users\VDA\Anahita%20Resort\IRS%20VILLA%202%20@%20ANAHITA%2021.03.07(r1)\Villa%202-%20external%20work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4479.sharepoint.com/MLC%20Jobs/6867%20-%20Cornubia%20Development/3/6867%20-%20Cost%20Plan%20-%20Sch%201%20Rev%200%20(2014-09-05)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-server\Company\Documents%20and%20Settings\Douglas.DA-DOMAIN\My%20Documents\Anahita%20project%20at%20Beau%20Rivage\Four%20Seasons\Workings\cost%20plan%20Hotel%20King%20Room%20(08030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al Data"/>
      <sheetName val="Database"/>
      <sheetName val="Areas"/>
      <sheetName val="Summary"/>
      <sheetName val="CostPlan"/>
      <sheetName val="Package Split"/>
      <sheetName val="Welcome"/>
      <sheetName val="Rates"/>
      <sheetName val="Elec"/>
      <sheetName val="Fire"/>
      <sheetName val="HVAC "/>
      <sheetName val="Plumbing "/>
      <sheetName val="Sheet1"/>
    </sheetNames>
    <sheetDataSet>
      <sheetData sheetId="0"/>
      <sheetData sheetId="1">
        <row r="73">
          <cell r="F73">
            <v>1.02</v>
          </cell>
        </row>
      </sheetData>
      <sheetData sheetId="2">
        <row r="149">
          <cell r="K149">
            <v>5296.9</v>
          </cell>
        </row>
      </sheetData>
      <sheetData sheetId="3"/>
      <sheetData sheetId="4"/>
      <sheetData sheetId="5"/>
      <sheetData sheetId="6"/>
      <sheetData sheetId="7">
        <row r="115">
          <cell r="D115">
            <v>0.06</v>
          </cell>
        </row>
        <row r="116">
          <cell r="D116">
            <v>0.06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s"/>
      <sheetName val="Summary"/>
      <sheetName val="Costplan"/>
      <sheetName val="Material List"/>
      <sheetName val="Rates"/>
      <sheetName val="Package Total"/>
      <sheetName val="blank samples"/>
      <sheetName val="To Take"/>
      <sheetName val="specs"/>
      <sheetName val="package split"/>
      <sheetName val="PACKAGE SPLIT1"/>
      <sheetName val="Precast Columns"/>
      <sheetName val="Precast Panels"/>
    </sheetNames>
    <sheetDataSet>
      <sheetData sheetId="0" refreshError="1"/>
      <sheetData sheetId="1">
        <row r="48">
          <cell r="I48">
            <v>137</v>
          </cell>
        </row>
        <row r="51">
          <cell r="G51">
            <v>0</v>
          </cell>
        </row>
        <row r="68">
          <cell r="I68">
            <v>68</v>
          </cell>
        </row>
        <row r="84">
          <cell r="I84">
            <v>262</v>
          </cell>
        </row>
      </sheetData>
      <sheetData sheetId="2" refreshError="1"/>
      <sheetData sheetId="3" refreshError="1"/>
      <sheetData sheetId="4" refreshError="1"/>
      <sheetData sheetId="5">
        <row r="15">
          <cell r="D15">
            <v>0.03</v>
          </cell>
        </row>
        <row r="113">
          <cell r="D113">
            <v>310</v>
          </cell>
        </row>
        <row r="118">
          <cell r="D118">
            <v>80</v>
          </cell>
        </row>
        <row r="119">
          <cell r="D119">
            <v>40</v>
          </cell>
        </row>
        <row r="159">
          <cell r="D159">
            <v>110</v>
          </cell>
        </row>
        <row r="160">
          <cell r="D160">
            <v>40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 Schedule"/>
      <sheetName val="Info Schedule"/>
      <sheetName val="Spec"/>
      <sheetName val="Executive Summary"/>
      <sheetName val="Cost Plan"/>
      <sheetName val="Tiling"/>
      <sheetName val="Shopfitting"/>
      <sheetName val="Ceilings"/>
      <sheetName val="Toi Access"/>
      <sheetName val="Elec"/>
      <sheetName val="P&amp;D"/>
      <sheetName val="HVAC"/>
      <sheetName val="Timber Floors"/>
      <sheetName val="Aluminium"/>
      <sheetName val="Package Split"/>
      <sheetName val="Compare Conc to Timber Roofs"/>
      <sheetName val="Schedule of Rates"/>
      <sheetName val="Areas"/>
      <sheetName val="Summary"/>
      <sheetName val="Costplan"/>
      <sheetName val="Rates"/>
      <sheetName val="Package Total"/>
      <sheetName val="blank samples"/>
      <sheetName val="To Take"/>
      <sheetName val="specs"/>
      <sheetName val="PACKAGE SPLIT1"/>
      <sheetName val="Sheet1"/>
      <sheetName val="Sheet2"/>
      <sheetName val="Sheet3"/>
      <sheetName val="PriceSummary"/>
      <sheetName val="Data Input"/>
      <sheetName val="Cover"/>
      <sheetName val="Dashboard"/>
      <sheetName val="Schedule F (SS)"/>
      <sheetName val="Schedule G"/>
      <sheetName val="Schedule I"/>
      <sheetName val="Schedule B-do not print"/>
    </sheetNames>
    <sheetDataSet>
      <sheetData sheetId="0" refreshError="1">
        <row r="20">
          <cell r="G20" t="str">
            <v>MUR</v>
          </cell>
        </row>
        <row r="22">
          <cell r="C22">
            <v>33</v>
          </cell>
        </row>
        <row r="23">
          <cell r="C23">
            <v>42</v>
          </cell>
        </row>
        <row r="27">
          <cell r="G27">
            <v>2.5000000000000001E-2</v>
          </cell>
        </row>
        <row r="28">
          <cell r="G28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1">
          <cell r="A31">
            <v>3</v>
          </cell>
        </row>
        <row r="47">
          <cell r="A47">
            <v>5</v>
          </cell>
        </row>
        <row r="54">
          <cell r="A54">
            <v>6</v>
          </cell>
        </row>
        <row r="1058">
          <cell r="A1058">
            <v>9</v>
          </cell>
        </row>
        <row r="2331">
          <cell r="A2331">
            <v>14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7">
          <cell r="C17">
            <v>3771.32</v>
          </cell>
        </row>
        <row r="25">
          <cell r="C25">
            <v>406.25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s"/>
      <sheetName val="Summary"/>
      <sheetName val="Costplan"/>
      <sheetName val="Rates"/>
      <sheetName val="Package Total"/>
      <sheetName val="Precast Panels"/>
      <sheetName val="Precast Columns"/>
      <sheetName val="blank samples"/>
      <sheetName val="To Take"/>
      <sheetName val="specs"/>
      <sheetName val="package split"/>
      <sheetName val="PACKAGE SPLIT1"/>
    </sheetNames>
    <sheetDataSet>
      <sheetData sheetId="0"/>
      <sheetData sheetId="1"/>
      <sheetData sheetId="2"/>
      <sheetData sheetId="3"/>
      <sheetData sheetId="4">
        <row r="48">
          <cell r="D48">
            <v>1270</v>
          </cell>
        </row>
        <row r="73">
          <cell r="D73">
            <v>340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al Data"/>
      <sheetName val="Database"/>
      <sheetName val="Areas"/>
      <sheetName val="Summary"/>
      <sheetName val="CostPlan"/>
      <sheetName val="Welcome"/>
      <sheetName val="OST - Sch 3"/>
      <sheetName val="OST RENTABLES - Sch 1 Rev 1"/>
    </sheetNames>
    <sheetDataSet>
      <sheetData sheetId="0"/>
      <sheetData sheetId="1">
        <row r="20">
          <cell r="F20">
            <v>110</v>
          </cell>
        </row>
        <row r="21">
          <cell r="F21">
            <v>720</v>
          </cell>
        </row>
        <row r="22">
          <cell r="F22">
            <v>4500</v>
          </cell>
        </row>
        <row r="23">
          <cell r="F23">
            <v>490</v>
          </cell>
        </row>
        <row r="24">
          <cell r="F24">
            <v>520</v>
          </cell>
        </row>
      </sheetData>
      <sheetData sheetId="2">
        <row r="82">
          <cell r="O82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Database"/>
      <sheetName val="CostPlan"/>
      <sheetName val="Welcome111111111111111111111111"/>
    </sheetNames>
    <sheetDataSet>
      <sheetData sheetId="0">
        <row r="34">
          <cell r="F34">
            <v>395.54</v>
          </cell>
        </row>
      </sheetData>
      <sheetData sheetId="1">
        <row r="34">
          <cell r="F34">
            <v>395.54</v>
          </cell>
        </row>
        <row r="35">
          <cell r="F35">
            <v>403.57</v>
          </cell>
        </row>
        <row r="42">
          <cell r="F42">
            <v>152.09</v>
          </cell>
        </row>
        <row r="43">
          <cell r="F43">
            <v>153.58000000000001</v>
          </cell>
        </row>
        <row r="45">
          <cell r="F45">
            <v>3.62</v>
          </cell>
        </row>
        <row r="46">
          <cell r="F46">
            <v>12.54</v>
          </cell>
        </row>
        <row r="50">
          <cell r="F50">
            <v>9.3800000000000008</v>
          </cell>
        </row>
        <row r="54">
          <cell r="F54">
            <v>503.14</v>
          </cell>
        </row>
        <row r="57">
          <cell r="F57">
            <v>85</v>
          </cell>
        </row>
        <row r="60">
          <cell r="F60">
            <v>105</v>
          </cell>
        </row>
        <row r="61">
          <cell r="F61">
            <v>85</v>
          </cell>
        </row>
        <row r="66">
          <cell r="F66">
            <v>209.82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 Schedule"/>
      <sheetName val="Info Schedule"/>
      <sheetName val="Spec"/>
      <sheetName val="Executive Summary"/>
      <sheetName val="Cost Plan"/>
      <sheetName val="Package Split"/>
      <sheetName val="Tiling"/>
      <sheetName val="Shopfitting"/>
      <sheetName val="Ceilings"/>
      <sheetName val="Toi Access"/>
      <sheetName val="Elec"/>
      <sheetName val="P&amp;D"/>
      <sheetName val="HVAC"/>
      <sheetName val="Timber Floors"/>
      <sheetName val="Cover"/>
      <sheetName val="Compare Conc to Timber Roofs"/>
      <sheetName val="Schedule of Rates"/>
      <sheetName val="Data"/>
      <sheetName val="Improve - P1"/>
    </sheetNames>
    <sheetDataSet>
      <sheetData sheetId="0" refreshError="1">
        <row r="26">
          <cell r="G26">
            <v>0.03</v>
          </cell>
        </row>
        <row r="28">
          <cell r="G28">
            <v>378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al Data"/>
      <sheetName val="Database"/>
      <sheetName val="Areas"/>
      <sheetName val="Summary"/>
      <sheetName val="CostPlan"/>
      <sheetName val="Package Split"/>
      <sheetName val="Welcome"/>
      <sheetName val="Rates"/>
    </sheetNames>
    <sheetDataSet>
      <sheetData sheetId="0"/>
      <sheetData sheetId="1"/>
      <sheetData sheetId="2">
        <row r="149">
          <cell r="K149">
            <v>3423.63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 Schedule"/>
      <sheetName val="Info Schedule"/>
      <sheetName val="Spec"/>
      <sheetName val="Executive Summary"/>
      <sheetName val="Cost Plan"/>
      <sheetName val="Tiling"/>
      <sheetName val="Shopfitting"/>
      <sheetName val="Ceilings"/>
      <sheetName val="Toi Access"/>
      <sheetName val="Elec"/>
      <sheetName val="P&amp;D"/>
      <sheetName val="HVAC"/>
      <sheetName val="Timber Floors"/>
      <sheetName val="Alum"/>
      <sheetName val="Package Split"/>
      <sheetName val="Cover"/>
      <sheetName val="Schedule of Rates"/>
      <sheetName val="Sheet1"/>
    </sheetNames>
    <sheetDataSet>
      <sheetData sheetId="0">
        <row r="22">
          <cell r="G22" t="str">
            <v>MUR</v>
          </cell>
        </row>
      </sheetData>
      <sheetData sheetId="1"/>
      <sheetData sheetId="2"/>
      <sheetData sheetId="3"/>
      <sheetData sheetId="4"/>
      <sheetData sheetId="5">
        <row r="34">
          <cell r="A34">
            <v>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al Data"/>
      <sheetName val="Database"/>
      <sheetName val="Areas"/>
      <sheetName val="Summary"/>
      <sheetName val="CostPlan"/>
      <sheetName val="Package Split"/>
      <sheetName val="Welcome"/>
      <sheetName val="Rates"/>
      <sheetName val="Elec"/>
      <sheetName val="Fire"/>
      <sheetName val="Plumbing"/>
    </sheetNames>
    <sheetDataSet>
      <sheetData sheetId="0">
        <row r="13">
          <cell r="E13" t="str">
            <v>MLC-5769/3/Scheme 8</v>
          </cell>
        </row>
      </sheetData>
      <sheetData sheetId="1">
        <row r="67">
          <cell r="F67">
            <v>0.06</v>
          </cell>
        </row>
        <row r="71">
          <cell r="F71">
            <v>3.5</v>
          </cell>
        </row>
        <row r="73">
          <cell r="F73">
            <v>1.3</v>
          </cell>
        </row>
      </sheetData>
      <sheetData sheetId="2">
        <row r="6">
          <cell r="B6" t="str">
            <v>for MDA Properties Ltd</v>
          </cell>
        </row>
      </sheetData>
      <sheetData sheetId="3"/>
      <sheetData sheetId="4">
        <row r="820">
          <cell r="C820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al Data"/>
      <sheetName val="Database"/>
      <sheetName val="CostPlan"/>
      <sheetName val="Welcome"/>
    </sheetNames>
    <sheetDataSet>
      <sheetData sheetId="0"/>
      <sheetData sheetId="1">
        <row r="243">
          <cell r="F243">
            <v>400</v>
          </cell>
        </row>
      </sheetData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s"/>
      <sheetName val="Summary"/>
      <sheetName val="Costplan"/>
      <sheetName val="Rates"/>
      <sheetName val="Package Total"/>
      <sheetName val="blank samples"/>
      <sheetName val="To Take"/>
      <sheetName val="Sheet1"/>
    </sheetNames>
    <sheetDataSet>
      <sheetData sheetId="0"/>
      <sheetData sheetId="1">
        <row r="75">
          <cell r="K75">
            <v>237446</v>
          </cell>
        </row>
        <row r="94">
          <cell r="I94">
            <v>18979</v>
          </cell>
        </row>
        <row r="101">
          <cell r="I101">
            <v>13771</v>
          </cell>
        </row>
        <row r="108">
          <cell r="I108">
            <v>48181</v>
          </cell>
        </row>
      </sheetData>
      <sheetData sheetId="2">
        <row r="16">
          <cell r="G16">
            <v>237446</v>
          </cell>
        </row>
      </sheetData>
      <sheetData sheetId="3">
        <row r="363">
          <cell r="H363">
            <v>48181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 Schedule (3)"/>
      <sheetName val="Info Schedule"/>
      <sheetName val="Executive Summary"/>
      <sheetName val="Cost Plan"/>
      <sheetName val="Package Split"/>
      <sheetName val="Tiling"/>
      <sheetName val="Area Schedule"/>
      <sheetName val="Database"/>
      <sheetName val="CostPlan"/>
    </sheetNames>
    <sheetDataSet>
      <sheetData sheetId="0">
        <row r="28">
          <cell r="G28">
            <v>2090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Areas"/>
      <sheetName val="Summary"/>
      <sheetName val="Costplan"/>
      <sheetName val="Rates"/>
      <sheetName val="Package split"/>
      <sheetName val="Package Total"/>
      <sheetName val="specs"/>
      <sheetName val="blank samples"/>
      <sheetName val="Measurement Schedules"/>
      <sheetName val="Rates (2014)"/>
    </sheetNames>
    <sheetDataSet>
      <sheetData sheetId="0" refreshError="1"/>
      <sheetData sheetId="1"/>
      <sheetData sheetId="2" refreshError="1"/>
      <sheetData sheetId="3" refreshError="1"/>
      <sheetData sheetId="4">
        <row r="64">
          <cell r="D64">
            <v>53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Data"/>
      <sheetName val="Executive Summary"/>
      <sheetName val="Area Schedule"/>
      <sheetName val="Info Schedule"/>
      <sheetName val="Cost Plan"/>
      <sheetName val="Package Split"/>
      <sheetName val="Areas"/>
      <sheetName val="Ops"/>
    </sheetNames>
    <sheetDataSet>
      <sheetData sheetId="0" refreshError="1">
        <row r="20">
          <cell r="H20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B1:V855"/>
  <sheetViews>
    <sheetView tabSelected="1" topLeftCell="A8" zoomScaleNormal="100" zoomScaleSheetLayoutView="100" workbookViewId="0">
      <selection activeCell="L27" sqref="L27"/>
    </sheetView>
  </sheetViews>
  <sheetFormatPr defaultColWidth="9.109375" defaultRowHeight="14.4" x14ac:dyDescent="0.35"/>
  <cols>
    <col min="1" max="1" width="1.6640625" style="1" customWidth="1"/>
    <col min="2" max="2" width="6.6640625" style="1" customWidth="1"/>
    <col min="3" max="3" width="10.88671875" style="1" customWidth="1"/>
    <col min="4" max="4" width="11.109375" style="1" customWidth="1"/>
    <col min="5" max="5" width="10.44140625" style="1" customWidth="1"/>
    <col min="6" max="6" width="6.6640625" style="1" customWidth="1"/>
    <col min="7" max="7" width="9.6640625" style="1" customWidth="1"/>
    <col min="8" max="8" width="5.6640625" style="1" customWidth="1"/>
    <col min="9" max="9" width="14.88671875" style="1" customWidth="1"/>
    <col min="10" max="10" width="13.6640625" style="1" customWidth="1"/>
    <col min="11" max="11" width="11.6640625" style="1" customWidth="1"/>
    <col min="12" max="12" width="10.6640625" style="1" customWidth="1"/>
    <col min="13" max="13" width="1.33203125" style="1" customWidth="1"/>
    <col min="14" max="14" width="2.6640625" style="1" customWidth="1"/>
    <col min="15" max="16" width="12.6640625" style="2" customWidth="1"/>
    <col min="17" max="16384" width="9.109375" style="1"/>
  </cols>
  <sheetData>
    <row r="1" spans="2:22" x14ac:dyDescent="0.35">
      <c r="B1" s="3" t="s">
        <v>80</v>
      </c>
      <c r="L1" s="4" t="s">
        <v>83</v>
      </c>
    </row>
    <row r="2" spans="2:22" x14ac:dyDescent="0.35">
      <c r="B2" s="5" t="s">
        <v>81</v>
      </c>
      <c r="L2" s="6">
        <v>45980</v>
      </c>
      <c r="Q2" s="7"/>
      <c r="R2" s="8"/>
    </row>
    <row r="3" spans="2:22" x14ac:dyDescent="0.35">
      <c r="B3" s="5" t="s">
        <v>82</v>
      </c>
      <c r="L3" s="9"/>
    </row>
    <row r="4" spans="2:22" x14ac:dyDescent="0.35">
      <c r="B4" s="10"/>
    </row>
    <row r="5" spans="2:22" ht="43.2" x14ac:dyDescent="0.35">
      <c r="B5" s="11"/>
      <c r="C5" s="12"/>
      <c r="D5" s="13"/>
      <c r="E5" s="13"/>
      <c r="F5" s="13"/>
      <c r="G5" s="14" t="s">
        <v>0</v>
      </c>
      <c r="H5" s="14" t="s">
        <v>1</v>
      </c>
      <c r="I5" s="14" t="s">
        <v>2</v>
      </c>
      <c r="J5" s="14" t="s">
        <v>3</v>
      </c>
      <c r="K5" s="14" t="s">
        <v>4</v>
      </c>
      <c r="L5" s="15" t="s">
        <v>5</v>
      </c>
      <c r="O5" s="146"/>
      <c r="P5" s="147"/>
    </row>
    <row r="6" spans="2:22" ht="15" customHeight="1" x14ac:dyDescent="0.35">
      <c r="B6" s="16"/>
      <c r="C6" s="17"/>
      <c r="D6" s="17"/>
      <c r="E6" s="17"/>
      <c r="F6" s="17"/>
      <c r="G6" s="18"/>
      <c r="H6" s="18"/>
      <c r="I6" s="18" t="s">
        <v>84</v>
      </c>
      <c r="J6" s="18" t="s">
        <v>85</v>
      </c>
      <c r="K6" s="18" t="s">
        <v>84</v>
      </c>
      <c r="L6" s="18" t="s">
        <v>6</v>
      </c>
    </row>
    <row r="7" spans="2:22" x14ac:dyDescent="0.35">
      <c r="B7" s="10"/>
    </row>
    <row r="8" spans="2:22" x14ac:dyDescent="0.35">
      <c r="B8" s="19"/>
      <c r="C8" s="156" t="s">
        <v>7</v>
      </c>
      <c r="D8" s="157"/>
      <c r="E8" s="157"/>
      <c r="F8" s="157"/>
    </row>
    <row r="9" spans="2:22" ht="12" customHeight="1" x14ac:dyDescent="0.35">
      <c r="B9" s="19"/>
      <c r="C9" s="20"/>
    </row>
    <row r="10" spans="2:22" ht="15" customHeight="1" x14ac:dyDescent="0.35">
      <c r="B10" s="21">
        <v>1</v>
      </c>
      <c r="C10" s="21" t="str">
        <f>Costplan!D10</f>
        <v>Roofs</v>
      </c>
      <c r="D10" s="22"/>
      <c r="E10" s="22"/>
      <c r="F10" s="22"/>
      <c r="G10" s="4">
        <f>Costplan!H31</f>
        <v>246</v>
      </c>
      <c r="H10" s="23" t="str">
        <f>Costplan!I31</f>
        <v>m²</v>
      </c>
      <c r="I10" s="24">
        <f>Costplan!J31</f>
        <v>127.70325203252033</v>
      </c>
      <c r="J10" s="4">
        <f>ROUND(Costplan!M31,-2)</f>
        <v>31400</v>
      </c>
      <c r="K10" s="24">
        <f>Costplan!K31</f>
        <v>119.9</v>
      </c>
      <c r="L10" s="25">
        <f>J10/$J$27</f>
        <v>6.0864508625702654E-2</v>
      </c>
      <c r="O10" s="148"/>
    </row>
    <row r="11" spans="2:22" ht="12" customHeight="1" x14ac:dyDescent="0.35">
      <c r="B11" s="21"/>
      <c r="G11" s="4"/>
      <c r="H11" s="23"/>
      <c r="I11" s="24"/>
      <c r="J11" s="4"/>
      <c r="K11" s="24"/>
      <c r="L11" s="25"/>
      <c r="O11" s="148"/>
    </row>
    <row r="12" spans="2:22" ht="15" customHeight="1" x14ac:dyDescent="0.35">
      <c r="B12" s="21">
        <v>2</v>
      </c>
      <c r="C12" s="21" t="str">
        <f>Costplan!D33</f>
        <v>External Walling</v>
      </c>
      <c r="D12" s="22"/>
      <c r="E12" s="22"/>
      <c r="F12" s="22"/>
      <c r="G12" s="4">
        <f>Costplan!H57</f>
        <v>1700</v>
      </c>
      <c r="H12" s="23" t="str">
        <f>Costplan!I57</f>
        <v>m²</v>
      </c>
      <c r="I12" s="24">
        <f>Costplan!J57</f>
        <v>60</v>
      </c>
      <c r="J12" s="4">
        <f>ROUND(Costplan!M57,-2)</f>
        <v>102000</v>
      </c>
      <c r="K12" s="24">
        <f>Costplan!K57</f>
        <v>389.31</v>
      </c>
      <c r="L12" s="25">
        <f>J12/$J$27</f>
        <v>0.19771273502616787</v>
      </c>
      <c r="O12" s="148"/>
    </row>
    <row r="13" spans="2:22" ht="12" customHeight="1" x14ac:dyDescent="0.35">
      <c r="B13" s="21"/>
      <c r="G13" s="4"/>
      <c r="H13" s="23"/>
      <c r="I13" s="24"/>
      <c r="J13" s="4"/>
      <c r="K13" s="24"/>
      <c r="L13" s="25"/>
      <c r="O13" s="148"/>
    </row>
    <row r="14" spans="2:22" ht="15" customHeight="1" x14ac:dyDescent="0.35">
      <c r="B14" s="21">
        <v>3</v>
      </c>
      <c r="C14" s="21" t="str">
        <f>Costplan!D59</f>
        <v>Internal Divisions</v>
      </c>
      <c r="D14" s="22"/>
      <c r="E14" s="22"/>
      <c r="F14" s="22"/>
      <c r="G14" s="4">
        <f>Costplan!H119</f>
        <v>296</v>
      </c>
      <c r="H14" s="23" t="str">
        <f>Costplan!I119</f>
        <v>m²</v>
      </c>
      <c r="I14" s="24">
        <f>Costplan!J119</f>
        <v>114.94763513513513</v>
      </c>
      <c r="J14" s="4">
        <f>ROUND(Costplan!M119,-2)</f>
        <v>34000</v>
      </c>
      <c r="K14" s="24">
        <f>Costplan!K119</f>
        <v>129.86000000000001</v>
      </c>
      <c r="L14" s="25">
        <f>J14/$J$27</f>
        <v>6.590424500872262E-2</v>
      </c>
      <c r="O14" s="148"/>
    </row>
    <row r="15" spans="2:22" ht="12" customHeight="1" x14ac:dyDescent="0.35">
      <c r="B15" s="21"/>
      <c r="G15" s="4"/>
      <c r="H15" s="23"/>
      <c r="I15" s="24"/>
      <c r="J15" s="4"/>
      <c r="K15" s="24"/>
      <c r="L15" s="25"/>
      <c r="O15" s="148"/>
      <c r="V15" s="26">
        <f>0.6*(1+V17)</f>
        <v>0.8</v>
      </c>
    </row>
    <row r="16" spans="2:22" ht="15" customHeight="1" x14ac:dyDescent="0.35">
      <c r="B16" s="21">
        <v>4</v>
      </c>
      <c r="C16" s="21" t="str">
        <f>Costplan!D121</f>
        <v>Floor Finishes</v>
      </c>
      <c r="D16" s="22"/>
      <c r="E16" s="22"/>
      <c r="F16" s="22"/>
      <c r="G16" s="4">
        <f>Costplan!H168</f>
        <v>420</v>
      </c>
      <c r="H16" s="23" t="str">
        <f>Costplan!I168</f>
        <v>m²</v>
      </c>
      <c r="I16" s="24">
        <f>Costplan!J168</f>
        <v>257.43571428571431</v>
      </c>
      <c r="J16" s="4">
        <f>ROUND(Costplan!M168,-2)</f>
        <v>108100</v>
      </c>
      <c r="K16" s="24">
        <f>Costplan!K168</f>
        <v>412.68</v>
      </c>
      <c r="L16" s="25">
        <f>J16/$J$27</f>
        <v>0.20953673192479164</v>
      </c>
      <c r="O16" s="148"/>
    </row>
    <row r="17" spans="2:22" ht="12" customHeight="1" x14ac:dyDescent="0.35">
      <c r="B17" s="21"/>
      <c r="G17" s="4"/>
      <c r="H17" s="23"/>
      <c r="I17" s="24"/>
      <c r="J17" s="4"/>
      <c r="K17" s="24"/>
      <c r="L17" s="25"/>
      <c r="O17" s="148"/>
      <c r="V17" s="27">
        <f>(0.9-0.6)/0.9</f>
        <v>0.33333333333333337</v>
      </c>
    </row>
    <row r="18" spans="2:22" ht="15" customHeight="1" x14ac:dyDescent="0.35">
      <c r="B18" s="21">
        <v>5</v>
      </c>
      <c r="C18" s="21" t="str">
        <f>Costplan!D170</f>
        <v>Internal Wall Finishings</v>
      </c>
      <c r="D18" s="22"/>
      <c r="E18" s="22"/>
      <c r="F18" s="22"/>
      <c r="G18" s="4">
        <f>Costplan!H194</f>
        <v>468</v>
      </c>
      <c r="H18" s="23" t="str">
        <f>Costplan!I194</f>
        <v>m²</v>
      </c>
      <c r="I18" s="24">
        <f>Costplan!J194</f>
        <v>75</v>
      </c>
      <c r="J18" s="4">
        <f>ROUND(Costplan!M194,-2)</f>
        <v>35100</v>
      </c>
      <c r="K18" s="24">
        <f>Costplan!K194</f>
        <v>267.94</v>
      </c>
      <c r="L18" s="25">
        <f>J18/$J$27</f>
        <v>6.8036441170769527E-2</v>
      </c>
      <c r="O18" s="148"/>
    </row>
    <row r="19" spans="2:22" ht="12" customHeight="1" x14ac:dyDescent="0.35">
      <c r="B19" s="21"/>
      <c r="G19" s="4"/>
      <c r="H19" s="23"/>
      <c r="I19" s="24"/>
      <c r="J19" s="4"/>
      <c r="K19" s="24"/>
      <c r="L19" s="25"/>
      <c r="O19" s="148"/>
    </row>
    <row r="20" spans="2:22" ht="15" customHeight="1" x14ac:dyDescent="0.35">
      <c r="B20" s="21">
        <v>6</v>
      </c>
      <c r="C20" s="21" t="str">
        <f>Costplan!D196</f>
        <v>Ceilings</v>
      </c>
      <c r="D20" s="22"/>
      <c r="E20" s="22"/>
      <c r="F20" s="22"/>
      <c r="G20" s="4">
        <f>Costplan!H225</f>
        <v>171</v>
      </c>
      <c r="H20" s="23" t="str">
        <f>Costplan!I225</f>
        <v>m²</v>
      </c>
      <c r="I20" s="24">
        <f>Costplan!J225</f>
        <v>102.50292397660819</v>
      </c>
      <c r="J20" s="4">
        <f>ROUND(Costplan!M225,-2)</f>
        <v>17500</v>
      </c>
      <c r="K20" s="24">
        <f>Costplan!K225</f>
        <v>56.02</v>
      </c>
      <c r="L20" s="25">
        <f>J20/$J$27</f>
        <v>3.3921302578018994E-2</v>
      </c>
      <c r="O20" s="148"/>
    </row>
    <row r="21" spans="2:22" ht="12" customHeight="1" x14ac:dyDescent="0.35">
      <c r="B21" s="21"/>
      <c r="G21" s="4"/>
      <c r="H21" s="23"/>
      <c r="I21" s="24"/>
      <c r="J21" s="4"/>
      <c r="K21" s="24"/>
      <c r="L21" s="25"/>
      <c r="O21" s="148"/>
    </row>
    <row r="22" spans="2:22" ht="15" customHeight="1" x14ac:dyDescent="0.35">
      <c r="B22" s="21">
        <v>7</v>
      </c>
      <c r="C22" s="21" t="str">
        <f>Costplan!D229</f>
        <v>Plumbing Installation</v>
      </c>
      <c r="D22" s="22"/>
      <c r="E22" s="22"/>
      <c r="F22" s="22"/>
      <c r="G22" s="4">
        <f>Costplan!H301</f>
        <v>262</v>
      </c>
      <c r="H22" s="23" t="str">
        <f>Costplan!I301</f>
        <v>m²</v>
      </c>
      <c r="I22" s="24">
        <f>Costplan!J301</f>
        <v>621.19083969465646</v>
      </c>
      <c r="J22" s="4">
        <f>ROUND(Costplan!M301,-2)</f>
        <v>162800</v>
      </c>
      <c r="K22" s="24">
        <f>Costplan!K301</f>
        <v>621.19000000000005</v>
      </c>
      <c r="L22" s="25">
        <f>J22/$J$27</f>
        <v>0.31556503198294245</v>
      </c>
      <c r="O22" s="148"/>
    </row>
    <row r="23" spans="2:22" ht="12" customHeight="1" x14ac:dyDescent="0.35">
      <c r="B23" s="21"/>
      <c r="G23" s="4"/>
      <c r="H23" s="23"/>
      <c r="I23" s="24"/>
      <c r="J23" s="4"/>
      <c r="K23" s="24"/>
      <c r="L23" s="25"/>
      <c r="O23" s="148"/>
    </row>
    <row r="24" spans="2:22" ht="15" customHeight="1" x14ac:dyDescent="0.35">
      <c r="B24" s="21">
        <v>8</v>
      </c>
      <c r="C24" s="21" t="str">
        <f>Costplan!D305</f>
        <v>Contingency</v>
      </c>
      <c r="D24" s="22"/>
      <c r="E24" s="22"/>
      <c r="F24" s="22"/>
      <c r="G24" s="4">
        <f>Costplan!H310</f>
        <v>0</v>
      </c>
      <c r="H24" s="23" t="str">
        <f>Costplan!I310</f>
        <v>m²</v>
      </c>
      <c r="I24" s="24">
        <f>Costplan!J310</f>
        <v>0</v>
      </c>
      <c r="J24" s="4">
        <f>ROUND(Costplan!M310,-3)</f>
        <v>25000</v>
      </c>
      <c r="K24" s="24">
        <f>Costplan!K310</f>
        <v>99.85</v>
      </c>
      <c r="L24" s="25">
        <f>J24/$J$27</f>
        <v>4.8459003682884277E-2</v>
      </c>
      <c r="O24" s="148"/>
    </row>
    <row r="25" spans="2:22" ht="12" customHeight="1" x14ac:dyDescent="0.35">
      <c r="B25" s="21"/>
      <c r="C25" s="21"/>
      <c r="D25" s="22"/>
      <c r="E25" s="22"/>
      <c r="F25" s="22"/>
      <c r="G25" s="4"/>
      <c r="H25" s="23"/>
      <c r="I25" s="24"/>
      <c r="J25" s="4"/>
      <c r="K25" s="24"/>
      <c r="L25" s="25"/>
    </row>
    <row r="26" spans="2:22" ht="12" customHeight="1" x14ac:dyDescent="0.35">
      <c r="B26" s="21"/>
      <c r="G26" s="28"/>
      <c r="H26" s="15"/>
      <c r="I26" s="29"/>
      <c r="J26" s="28"/>
      <c r="K26" s="30"/>
      <c r="L26" s="31"/>
      <c r="O26" s="148"/>
      <c r="P26" s="148"/>
    </row>
    <row r="27" spans="2:22" ht="15" customHeight="1" thickBot="1" x14ac:dyDescent="0.4">
      <c r="B27" s="21"/>
      <c r="C27" s="158" t="str">
        <f>Costplan!D314</f>
        <v>COST PER m² OF CONSTRUCTION AREA</v>
      </c>
      <c r="D27" s="157"/>
      <c r="E27" s="157"/>
      <c r="F27" s="157"/>
      <c r="G27" s="32">
        <f>Costplan!H314</f>
        <v>262</v>
      </c>
      <c r="H27" s="33" t="s">
        <v>8</v>
      </c>
      <c r="I27" s="34">
        <f>J27/G27</f>
        <v>1969.0839694656488</v>
      </c>
      <c r="J27" s="32">
        <f>SUM(J8:J26)</f>
        <v>515900</v>
      </c>
      <c r="K27" s="34">
        <f>SUM(K10:K26)</f>
        <v>2096.75</v>
      </c>
      <c r="L27" s="35">
        <f>SUM(L10:L24)</f>
        <v>1</v>
      </c>
      <c r="O27" s="149"/>
      <c r="P27" s="149"/>
    </row>
    <row r="28" spans="2:22" ht="12" customHeight="1" thickTop="1" x14ac:dyDescent="0.35">
      <c r="B28" s="21"/>
      <c r="C28" s="20"/>
      <c r="G28" s="4"/>
      <c r="H28" s="23"/>
      <c r="I28" s="24"/>
      <c r="J28" s="4"/>
      <c r="L28" s="25"/>
    </row>
    <row r="29" spans="2:22" ht="15" customHeight="1" x14ac:dyDescent="0.35">
      <c r="B29" s="21"/>
      <c r="C29" s="20"/>
      <c r="G29" s="4"/>
      <c r="H29" s="23"/>
      <c r="I29" s="24"/>
      <c r="J29" s="4"/>
      <c r="L29" s="25"/>
    </row>
    <row r="30" spans="2:22" x14ac:dyDescent="0.35">
      <c r="B30" s="21"/>
      <c r="C30" s="20"/>
      <c r="G30" s="4"/>
      <c r="H30" s="23"/>
      <c r="I30" s="24"/>
      <c r="J30" s="4"/>
      <c r="L30" s="25"/>
    </row>
    <row r="31" spans="2:22" x14ac:dyDescent="0.35">
      <c r="B31" s="21"/>
      <c r="C31" s="20"/>
      <c r="G31" s="4"/>
      <c r="H31" s="23"/>
      <c r="I31" s="24"/>
      <c r="J31" s="4"/>
      <c r="L31" s="25"/>
    </row>
    <row r="32" spans="2:22" x14ac:dyDescent="0.35">
      <c r="B32" s="21"/>
      <c r="C32" s="20"/>
      <c r="G32" s="4"/>
      <c r="H32" s="23"/>
      <c r="I32" s="24"/>
      <c r="J32" s="4"/>
      <c r="L32" s="25"/>
    </row>
    <row r="33" spans="2:16" x14ac:dyDescent="0.35">
      <c r="B33" s="21"/>
      <c r="C33" s="20"/>
      <c r="G33" s="4"/>
      <c r="H33" s="23"/>
      <c r="I33" s="24"/>
      <c r="J33" s="4"/>
      <c r="L33" s="25"/>
    </row>
    <row r="36" spans="2:16" x14ac:dyDescent="0.35">
      <c r="P36" s="150"/>
    </row>
    <row r="38" spans="2:16" x14ac:dyDescent="0.35">
      <c r="I38" s="4"/>
    </row>
    <row r="41" spans="2:16" x14ac:dyDescent="0.35">
      <c r="J41" s="36"/>
      <c r="K41" s="36"/>
    </row>
    <row r="855" spans="10:10" x14ac:dyDescent="0.35">
      <c r="J855" s="1">
        <v>42</v>
      </c>
    </row>
  </sheetData>
  <mergeCells count="2">
    <mergeCell ref="C8:F8"/>
    <mergeCell ref="C27:F27"/>
  </mergeCells>
  <pageMargins left="0.39370078740157483" right="0.19685039370078741" top="0.39370078740157483" bottom="0.39370078740157483" header="0.19685039370078741" footer="0.19685039370078741"/>
  <pageSetup paperSize="9" scale="89" fitToHeight="100" orientation="portrait" useFirstPageNumber="1" r:id="rId1"/>
  <headerFooter alignWithMargins="0">
    <oddFooter>&amp;C- &amp;P -&amp;ROffice Block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IU318"/>
  <sheetViews>
    <sheetView view="pageBreakPreview" zoomScale="80" zoomScaleNormal="100" zoomScaleSheetLayoutView="80" workbookViewId="0">
      <pane ySplit="6" topLeftCell="A121" activePane="bottomLeft" state="frozen"/>
      <selection pane="bottomLeft" activeCell="D41" sqref="D41"/>
    </sheetView>
  </sheetViews>
  <sheetFormatPr defaultColWidth="8.33203125" defaultRowHeight="14.4" outlineLevelRow="2" x14ac:dyDescent="0.25"/>
  <cols>
    <col min="1" max="2" width="1.44140625" style="38" customWidth="1"/>
    <col min="3" max="3" width="7.6640625" style="38" customWidth="1"/>
    <col min="4" max="4" width="10.88671875" style="22" customWidth="1"/>
    <col min="5" max="5" width="11.109375" style="22" customWidth="1"/>
    <col min="6" max="6" width="11" style="22" bestFit="1" customWidth="1"/>
    <col min="7" max="7" width="12.88671875" style="22" customWidth="1"/>
    <col min="8" max="8" width="12.109375" style="22" customWidth="1"/>
    <col min="9" max="9" width="6.5546875" style="22" customWidth="1"/>
    <col min="10" max="10" width="14.33203125" style="22" customWidth="1"/>
    <col min="11" max="11" width="13.44140625" style="22" bestFit="1" customWidth="1"/>
    <col min="12" max="12" width="13.33203125" style="22" bestFit="1" customWidth="1"/>
    <col min="13" max="13" width="13.33203125" style="22" customWidth="1"/>
    <col min="14" max="14" width="12.5546875" style="22" hidden="1" customWidth="1"/>
    <col min="15" max="15" width="21.109375" style="37" hidden="1" customWidth="1"/>
    <col min="16" max="18" width="13.6640625" style="22" hidden="1" customWidth="1"/>
    <col min="19" max="19" width="12.33203125" style="22" customWidth="1"/>
    <col min="20" max="21" width="8.33203125" style="22" customWidth="1"/>
    <col min="22" max="16384" width="8.33203125" style="22"/>
  </cols>
  <sheetData>
    <row r="1" spans="1:248" x14ac:dyDescent="0.25">
      <c r="C1" s="39" t="s">
        <v>80</v>
      </c>
      <c r="M1" s="40" t="s">
        <v>83</v>
      </c>
      <c r="N1" s="41"/>
      <c r="O1" s="42"/>
    </row>
    <row r="2" spans="1:248" x14ac:dyDescent="0.25">
      <c r="C2" s="38" t="s">
        <v>81</v>
      </c>
      <c r="M2" s="43">
        <v>45980</v>
      </c>
      <c r="N2" s="41"/>
      <c r="O2" s="44"/>
    </row>
    <row r="3" spans="1:248" x14ac:dyDescent="0.25">
      <c r="C3" s="38" t="s">
        <v>82</v>
      </c>
      <c r="M3" s="45">
        <v>0</v>
      </c>
    </row>
    <row r="4" spans="1:248" x14ac:dyDescent="0.25">
      <c r="A4" s="46"/>
      <c r="B4" s="46"/>
      <c r="C4" s="47"/>
      <c r="D4" s="48"/>
      <c r="E4" s="49"/>
      <c r="F4" s="48"/>
      <c r="G4" s="48"/>
      <c r="H4" s="48"/>
      <c r="I4" s="48"/>
      <c r="J4" s="48"/>
      <c r="K4" s="48"/>
      <c r="L4" s="48"/>
      <c r="M4" s="50"/>
      <c r="N4" s="51"/>
      <c r="O4" s="52"/>
      <c r="P4" s="53"/>
      <c r="Q4" s="53"/>
      <c r="R4" s="54" t="s">
        <v>10</v>
      </c>
      <c r="S4" s="51"/>
      <c r="T4" s="51"/>
      <c r="U4" s="51"/>
      <c r="V4" s="51"/>
      <c r="W4" s="51"/>
      <c r="X4" s="51"/>
      <c r="AA4" s="55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</row>
    <row r="5" spans="1:248" ht="28.8" x14ac:dyDescent="0.25">
      <c r="B5" s="56"/>
      <c r="C5" s="57"/>
      <c r="D5" s="58"/>
      <c r="E5" s="59"/>
      <c r="F5" s="60"/>
      <c r="G5" s="60"/>
      <c r="H5" s="61" t="s">
        <v>11</v>
      </c>
      <c r="I5" s="61" t="s">
        <v>1</v>
      </c>
      <c r="J5" s="61" t="s">
        <v>12</v>
      </c>
      <c r="K5" s="61" t="s">
        <v>4</v>
      </c>
      <c r="L5" s="61" t="s">
        <v>13</v>
      </c>
      <c r="M5" s="61" t="s">
        <v>3</v>
      </c>
      <c r="O5" s="62" t="s">
        <v>14</v>
      </c>
      <c r="P5" s="63" t="s">
        <v>15</v>
      </c>
      <c r="Q5" s="63" t="s">
        <v>16</v>
      </c>
      <c r="R5" s="64" t="s">
        <v>17</v>
      </c>
    </row>
    <row r="6" spans="1:248" x14ac:dyDescent="0.25">
      <c r="B6" s="56"/>
      <c r="C6" s="65"/>
      <c r="D6" s="66"/>
      <c r="E6" s="67"/>
      <c r="F6" s="66"/>
      <c r="G6" s="66"/>
      <c r="H6" s="68"/>
      <c r="I6" s="68"/>
      <c r="J6" s="68" t="s">
        <v>85</v>
      </c>
      <c r="K6" s="68" t="s">
        <v>84</v>
      </c>
      <c r="L6" s="68" t="s">
        <v>85</v>
      </c>
      <c r="M6" s="68" t="s">
        <v>85</v>
      </c>
      <c r="O6" s="69"/>
      <c r="P6" s="70"/>
      <c r="Q6" s="70"/>
      <c r="R6" s="71" t="s">
        <v>18</v>
      </c>
    </row>
    <row r="7" spans="1:248" ht="15" customHeight="1" x14ac:dyDescent="0.25">
      <c r="A7" s="72" t="s">
        <v>9</v>
      </c>
      <c r="B7" s="72"/>
      <c r="C7" s="73"/>
      <c r="D7" s="74"/>
      <c r="E7" s="75"/>
      <c r="F7" s="74"/>
      <c r="G7" s="74"/>
      <c r="H7" s="74"/>
      <c r="I7" s="74"/>
      <c r="J7" s="74"/>
      <c r="K7" s="74"/>
      <c r="L7" s="74"/>
      <c r="M7" s="74"/>
      <c r="N7" s="74"/>
      <c r="O7" s="76"/>
      <c r="P7" s="77"/>
      <c r="Q7" s="77"/>
      <c r="R7" s="78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  <c r="FM7" s="74"/>
      <c r="FN7" s="74"/>
      <c r="FO7" s="74"/>
      <c r="FP7" s="74"/>
      <c r="FQ7" s="74"/>
      <c r="FR7" s="74"/>
      <c r="FS7" s="74"/>
      <c r="FT7" s="74"/>
      <c r="FU7" s="74"/>
      <c r="FV7" s="74"/>
      <c r="FW7" s="74"/>
      <c r="FX7" s="74"/>
      <c r="FY7" s="74"/>
      <c r="FZ7" s="74"/>
      <c r="GA7" s="74"/>
      <c r="GB7" s="74"/>
      <c r="GC7" s="74"/>
      <c r="GD7" s="74"/>
      <c r="GE7" s="74"/>
      <c r="GF7" s="74"/>
      <c r="GG7" s="74"/>
      <c r="GH7" s="74"/>
      <c r="GI7" s="74"/>
      <c r="GJ7" s="74"/>
      <c r="GK7" s="74"/>
      <c r="GL7" s="74"/>
      <c r="GM7" s="74"/>
      <c r="GN7" s="74"/>
      <c r="GO7" s="74"/>
      <c r="GP7" s="74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74"/>
      <c r="HB7" s="74"/>
      <c r="HC7" s="74"/>
      <c r="HD7" s="74"/>
      <c r="HE7" s="74"/>
      <c r="HF7" s="74"/>
      <c r="HG7" s="74"/>
      <c r="HH7" s="74"/>
      <c r="HI7" s="74"/>
      <c r="HJ7" s="74"/>
      <c r="HK7" s="74"/>
      <c r="HL7" s="74"/>
      <c r="HM7" s="74"/>
      <c r="HN7" s="74"/>
      <c r="HO7" s="74"/>
      <c r="HP7" s="74"/>
      <c r="HQ7" s="74"/>
      <c r="HR7" s="74"/>
      <c r="HS7" s="74"/>
      <c r="HT7" s="74"/>
      <c r="HU7" s="74"/>
      <c r="HV7" s="74"/>
      <c r="HW7" s="74"/>
      <c r="HX7" s="74"/>
      <c r="HY7" s="74"/>
      <c r="HZ7" s="74"/>
      <c r="IA7" s="74"/>
      <c r="IB7" s="74"/>
      <c r="IC7" s="74"/>
      <c r="ID7" s="74"/>
      <c r="IE7" s="74"/>
      <c r="IF7" s="74"/>
      <c r="IG7" s="74"/>
      <c r="IH7" s="74"/>
      <c r="II7" s="74"/>
      <c r="IJ7" s="74"/>
      <c r="IK7" s="74"/>
      <c r="IL7" s="74"/>
      <c r="IM7" s="74"/>
      <c r="IN7" s="74"/>
    </row>
    <row r="8" spans="1:248" s="42" customFormat="1" ht="15" customHeight="1" x14ac:dyDescent="0.25">
      <c r="A8" s="79"/>
      <c r="B8" s="80" t="s">
        <v>19</v>
      </c>
      <c r="C8" s="86"/>
      <c r="D8" s="159" t="s">
        <v>88</v>
      </c>
      <c r="E8" s="160"/>
      <c r="F8" s="160"/>
      <c r="G8" s="160"/>
      <c r="O8" s="82"/>
      <c r="P8" s="83"/>
      <c r="Q8" s="83"/>
      <c r="R8" s="84"/>
    </row>
    <row r="9" spans="1:248" s="42" customFormat="1" ht="15" customHeight="1" x14ac:dyDescent="0.25">
      <c r="A9" s="79"/>
      <c r="B9" s="80"/>
      <c r="C9" s="86"/>
      <c r="D9" s="81"/>
      <c r="E9" s="137"/>
      <c r="F9" s="137"/>
      <c r="G9" s="137"/>
      <c r="O9" s="82"/>
      <c r="P9" s="83"/>
      <c r="Q9" s="83"/>
      <c r="R9" s="84"/>
    </row>
    <row r="10" spans="1:248" s="42" customFormat="1" x14ac:dyDescent="0.25">
      <c r="A10" s="79"/>
      <c r="B10" s="80" t="s">
        <v>19</v>
      </c>
      <c r="C10" s="86">
        <v>1</v>
      </c>
      <c r="D10" s="159" t="s">
        <v>20</v>
      </c>
      <c r="E10" s="160"/>
      <c r="F10" s="160"/>
      <c r="G10" s="160"/>
      <c r="O10" s="82"/>
      <c r="P10" s="83"/>
      <c r="Q10" s="83"/>
      <c r="R10" s="84"/>
    </row>
    <row r="11" spans="1:248" s="42" customFormat="1" ht="15" customHeight="1" x14ac:dyDescent="0.25">
      <c r="A11" s="79"/>
      <c r="B11" s="80"/>
      <c r="C11" s="86"/>
      <c r="D11" s="85"/>
      <c r="O11" s="82"/>
      <c r="P11" s="83"/>
      <c r="Q11" s="83"/>
      <c r="R11" s="84"/>
    </row>
    <row r="12" spans="1:248" s="42" customFormat="1" x14ac:dyDescent="0.25">
      <c r="A12" s="79"/>
      <c r="B12" s="80" t="s">
        <v>19</v>
      </c>
      <c r="C12" s="80">
        <f>C10+0.01</f>
        <v>1.01</v>
      </c>
      <c r="D12" s="163" t="s">
        <v>21</v>
      </c>
      <c r="E12" s="163"/>
      <c r="F12" s="163"/>
      <c r="G12" s="163"/>
      <c r="H12" s="42">
        <f>ROUND(H14,0)</f>
        <v>246</v>
      </c>
      <c r="I12" s="99" t="s">
        <v>8</v>
      </c>
      <c r="J12" s="87">
        <v>100</v>
      </c>
      <c r="K12" s="87">
        <v>93.89312977099236</v>
      </c>
      <c r="M12" s="42">
        <f>ROUND(+H12*J12,-2)</f>
        <v>24600</v>
      </c>
      <c r="O12" s="95" t="s">
        <v>22</v>
      </c>
      <c r="P12" s="96"/>
      <c r="Q12" s="96">
        <f>M12</f>
        <v>24600</v>
      </c>
      <c r="R12" s="83"/>
    </row>
    <row r="13" spans="1:248" s="42" customFormat="1" ht="15" customHeight="1" x14ac:dyDescent="0.25">
      <c r="A13" s="79"/>
      <c r="B13" s="80"/>
      <c r="C13" s="80"/>
      <c r="D13" s="101"/>
      <c r="E13" s="101"/>
      <c r="F13" s="101"/>
      <c r="G13" s="101"/>
      <c r="H13" s="101"/>
      <c r="O13" s="95"/>
      <c r="P13" s="96"/>
      <c r="Q13" s="96"/>
      <c r="R13" s="83"/>
    </row>
    <row r="14" spans="1:248" s="42" customFormat="1" ht="15" customHeight="1" outlineLevel="2" x14ac:dyDescent="0.25">
      <c r="A14" s="79"/>
      <c r="B14" s="80"/>
      <c r="C14" s="80"/>
      <c r="D14" s="101"/>
      <c r="E14" s="101"/>
      <c r="F14" s="101"/>
      <c r="G14" s="101"/>
      <c r="H14" s="101">
        <f>SUM(H16:H18)</f>
        <v>246</v>
      </c>
      <c r="O14" s="95"/>
      <c r="P14" s="96"/>
      <c r="Q14" s="96"/>
      <c r="R14" s="83"/>
    </row>
    <row r="15" spans="1:248" s="42" customFormat="1" ht="15" customHeight="1" outlineLevel="2" x14ac:dyDescent="0.25">
      <c r="A15" s="79"/>
      <c r="B15" s="80"/>
      <c r="C15" s="80"/>
      <c r="D15" s="101"/>
      <c r="E15" s="101"/>
      <c r="F15" s="101"/>
      <c r="G15" s="101"/>
      <c r="H15" s="101"/>
      <c r="O15" s="95"/>
      <c r="P15" s="96"/>
      <c r="Q15" s="96"/>
      <c r="R15" s="83"/>
    </row>
    <row r="16" spans="1:248" s="42" customFormat="1" ht="15" customHeight="1" outlineLevel="2" x14ac:dyDescent="0.25">
      <c r="A16" s="79"/>
      <c r="B16" s="80"/>
      <c r="C16" s="80"/>
      <c r="D16" s="101">
        <v>1.2</v>
      </c>
      <c r="E16" s="101">
        <f>[2]Areas!I48</f>
        <v>137</v>
      </c>
      <c r="F16" s="101">
        <v>1</v>
      </c>
      <c r="G16" s="101">
        <v>1</v>
      </c>
      <c r="H16" s="101">
        <f>D16*E16*F16*G16</f>
        <v>164.4</v>
      </c>
      <c r="I16" s="102" t="s">
        <v>23</v>
      </c>
      <c r="O16" s="95"/>
      <c r="P16" s="96"/>
      <c r="Q16" s="96"/>
      <c r="R16" s="83"/>
    </row>
    <row r="17" spans="1:18" s="42" customFormat="1" ht="15" customHeight="1" outlineLevel="2" x14ac:dyDescent="0.25">
      <c r="A17" s="79"/>
      <c r="B17" s="80"/>
      <c r="C17" s="80"/>
      <c r="D17" s="101">
        <v>1.2</v>
      </c>
      <c r="E17" s="101">
        <f>[2]Areas!I68</f>
        <v>68</v>
      </c>
      <c r="F17" s="101">
        <v>1</v>
      </c>
      <c r="G17" s="101">
        <v>1</v>
      </c>
      <c r="H17" s="101">
        <f t="shared" ref="H17" si="0">D17*E17*F17*G17</f>
        <v>81.599999999999994</v>
      </c>
      <c r="I17" s="44" t="s">
        <v>86</v>
      </c>
      <c r="O17" s="95"/>
      <c r="P17" s="96"/>
      <c r="Q17" s="96"/>
      <c r="R17" s="83"/>
    </row>
    <row r="18" spans="1:18" s="42" customFormat="1" ht="15" customHeight="1" outlineLevel="2" x14ac:dyDescent="0.25">
      <c r="A18" s="79"/>
      <c r="B18" s="80"/>
      <c r="C18" s="80"/>
      <c r="D18" s="101"/>
      <c r="E18" s="101"/>
      <c r="F18" s="101"/>
      <c r="G18" s="101"/>
      <c r="H18" s="101"/>
      <c r="O18" s="95"/>
      <c r="P18" s="96"/>
      <c r="Q18" s="96"/>
      <c r="R18" s="83"/>
    </row>
    <row r="19" spans="1:18" s="42" customFormat="1" ht="15" customHeight="1" x14ac:dyDescent="0.25">
      <c r="A19" s="79"/>
      <c r="B19" s="80" t="s">
        <v>19</v>
      </c>
      <c r="C19" s="80">
        <f>C12+0.01</f>
        <v>1.02</v>
      </c>
      <c r="D19" s="164" t="s">
        <v>24</v>
      </c>
      <c r="E19" s="163"/>
      <c r="F19" s="163"/>
      <c r="G19" s="163"/>
      <c r="H19" s="42">
        <f>ROUND(H21,0)</f>
        <v>117</v>
      </c>
      <c r="I19" s="99" t="s">
        <v>25</v>
      </c>
      <c r="J19" s="87">
        <v>50</v>
      </c>
      <c r="K19" s="87">
        <v>22.519083969465647</v>
      </c>
      <c r="M19" s="42">
        <f>ROUND(+H19*J19,-2)</f>
        <v>5900</v>
      </c>
      <c r="O19" s="95" t="s">
        <v>22</v>
      </c>
      <c r="P19" s="96"/>
      <c r="Q19" s="96">
        <f>M19</f>
        <v>5900</v>
      </c>
      <c r="R19" s="83"/>
    </row>
    <row r="20" spans="1:18" s="42" customFormat="1" ht="15" customHeight="1" x14ac:dyDescent="0.25">
      <c r="A20" s="79"/>
      <c r="B20" s="80"/>
      <c r="C20" s="80"/>
      <c r="D20" s="101"/>
      <c r="E20" s="101"/>
      <c r="F20" s="101"/>
      <c r="G20" s="101"/>
      <c r="H20" s="101"/>
      <c r="O20" s="95"/>
      <c r="P20" s="96"/>
      <c r="Q20" s="96"/>
      <c r="R20" s="83"/>
    </row>
    <row r="21" spans="1:18" s="42" customFormat="1" ht="15" customHeight="1" outlineLevel="1" x14ac:dyDescent="0.25">
      <c r="A21" s="79"/>
      <c r="B21" s="80"/>
      <c r="C21" s="80"/>
      <c r="D21" s="101"/>
      <c r="E21" s="101"/>
      <c r="F21" s="101"/>
      <c r="G21" s="101"/>
      <c r="H21" s="101">
        <f>SUM(H23:H26)</f>
        <v>117.2</v>
      </c>
      <c r="O21" s="95"/>
      <c r="P21" s="96"/>
      <c r="Q21" s="96"/>
      <c r="R21" s="83"/>
    </row>
    <row r="22" spans="1:18" s="42" customFormat="1" ht="15" customHeight="1" outlineLevel="1" x14ac:dyDescent="0.25">
      <c r="A22" s="79"/>
      <c r="B22" s="80"/>
      <c r="C22" s="80"/>
      <c r="D22" s="101"/>
      <c r="E22" s="101"/>
      <c r="F22" s="101"/>
      <c r="G22" s="101"/>
      <c r="H22" s="101"/>
      <c r="O22" s="95"/>
      <c r="P22" s="96"/>
      <c r="Q22" s="96"/>
      <c r="R22" s="83"/>
    </row>
    <row r="23" spans="1:18" s="42" customFormat="1" ht="15" customHeight="1" outlineLevel="1" x14ac:dyDescent="0.25">
      <c r="A23" s="79"/>
      <c r="B23" s="80"/>
      <c r="C23" s="80"/>
      <c r="D23" s="101">
        <v>2</v>
      </c>
      <c r="E23" s="101">
        <v>3</v>
      </c>
      <c r="F23" s="101">
        <v>1</v>
      </c>
      <c r="G23" s="101">
        <v>1</v>
      </c>
      <c r="H23" s="101">
        <f>D23*E23*F23*G23</f>
        <v>6</v>
      </c>
      <c r="I23" s="102" t="s">
        <v>26</v>
      </c>
      <c r="O23" s="95"/>
      <c r="P23" s="96"/>
      <c r="Q23" s="96"/>
      <c r="R23" s="83"/>
    </row>
    <row r="24" spans="1:18" s="42" customFormat="1" ht="15" customHeight="1" outlineLevel="1" x14ac:dyDescent="0.25">
      <c r="A24" s="79"/>
      <c r="B24" s="80"/>
      <c r="C24" s="80"/>
      <c r="D24" s="101">
        <v>1</v>
      </c>
      <c r="E24" s="101">
        <v>52.29</v>
      </c>
      <c r="F24" s="101">
        <v>1</v>
      </c>
      <c r="G24" s="101">
        <v>1</v>
      </c>
      <c r="H24" s="101">
        <f>D24*E24*F24*G24</f>
        <v>52.29</v>
      </c>
      <c r="I24" s="102" t="s">
        <v>27</v>
      </c>
      <c r="O24" s="95"/>
      <c r="P24" s="96"/>
      <c r="Q24" s="96"/>
      <c r="R24" s="83"/>
    </row>
    <row r="25" spans="1:18" s="42" customFormat="1" ht="15" customHeight="1" outlineLevel="1" x14ac:dyDescent="0.25">
      <c r="A25" s="79"/>
      <c r="B25" s="80"/>
      <c r="C25" s="80"/>
      <c r="D25" s="101">
        <v>1</v>
      </c>
      <c r="E25" s="101">
        <v>33.54</v>
      </c>
      <c r="F25" s="101">
        <v>1</v>
      </c>
      <c r="G25" s="101">
        <v>1</v>
      </c>
      <c r="H25" s="101">
        <f>D25*E25*F25*G25</f>
        <v>33.54</v>
      </c>
      <c r="I25" s="42" t="s">
        <v>27</v>
      </c>
      <c r="O25" s="95"/>
      <c r="P25" s="96"/>
      <c r="Q25" s="96"/>
      <c r="R25" s="83"/>
    </row>
    <row r="26" spans="1:18" s="42" customFormat="1" ht="15" customHeight="1" outlineLevel="1" x14ac:dyDescent="0.25">
      <c r="A26" s="79"/>
      <c r="B26" s="80"/>
      <c r="C26" s="80"/>
      <c r="D26" s="101">
        <v>1</v>
      </c>
      <c r="E26" s="101">
        <v>25.37</v>
      </c>
      <c r="F26" s="101">
        <v>1</v>
      </c>
      <c r="G26" s="101">
        <v>1</v>
      </c>
      <c r="H26" s="101">
        <f>D26*E26*F26*G26</f>
        <v>25.37</v>
      </c>
      <c r="I26" s="42" t="s">
        <v>27</v>
      </c>
      <c r="O26" s="95"/>
      <c r="P26" s="96"/>
      <c r="Q26" s="96"/>
      <c r="R26" s="83"/>
    </row>
    <row r="27" spans="1:18" s="42" customFormat="1" ht="15" customHeight="1" outlineLevel="1" x14ac:dyDescent="0.25">
      <c r="A27" s="79"/>
      <c r="B27" s="80"/>
      <c r="C27" s="80"/>
      <c r="D27" s="101"/>
      <c r="E27" s="101"/>
      <c r="F27" s="101"/>
      <c r="G27" s="101"/>
      <c r="H27" s="101"/>
      <c r="O27" s="95"/>
      <c r="P27" s="96"/>
      <c r="Q27" s="96"/>
      <c r="R27" s="83"/>
    </row>
    <row r="28" spans="1:18" s="42" customFormat="1" ht="30" customHeight="1" x14ac:dyDescent="0.25">
      <c r="A28" s="79"/>
      <c r="B28" s="80" t="s">
        <v>19</v>
      </c>
      <c r="C28" s="80">
        <f>C19+0.01</f>
        <v>1.03</v>
      </c>
      <c r="D28" s="162" t="s">
        <v>28</v>
      </c>
      <c r="E28" s="162"/>
      <c r="F28" s="162"/>
      <c r="G28" s="162"/>
      <c r="H28" s="41">
        <v>0.03</v>
      </c>
      <c r="I28" s="99" t="s">
        <v>19</v>
      </c>
      <c r="J28" s="42">
        <f>SUM(Q10:Q29)</f>
        <v>30500</v>
      </c>
      <c r="K28" s="87">
        <v>3.4923664122137406</v>
      </c>
      <c r="M28" s="42">
        <f>ROUND(+H28*J28,0)</f>
        <v>915</v>
      </c>
      <c r="O28" s="82" t="s">
        <v>29</v>
      </c>
      <c r="P28" s="83">
        <f>M28</f>
        <v>915</v>
      </c>
      <c r="Q28" s="83"/>
      <c r="R28" s="84"/>
    </row>
    <row r="29" spans="1:18" s="42" customFormat="1" x14ac:dyDescent="0.25">
      <c r="A29" s="79"/>
      <c r="B29" s="80"/>
      <c r="C29" s="80"/>
      <c r="O29" s="82"/>
      <c r="P29" s="83"/>
      <c r="Q29" s="83"/>
      <c r="R29" s="84"/>
    </row>
    <row r="30" spans="1:18" s="42" customFormat="1" x14ac:dyDescent="0.25">
      <c r="A30" s="79"/>
      <c r="B30" s="80"/>
      <c r="C30" s="80" t="s">
        <v>19</v>
      </c>
      <c r="H30" s="88"/>
      <c r="I30" s="88"/>
      <c r="J30" s="88"/>
      <c r="K30" s="88"/>
      <c r="L30" s="88"/>
      <c r="M30" s="88"/>
      <c r="O30" s="82"/>
      <c r="P30" s="83"/>
      <c r="Q30" s="83"/>
      <c r="R30" s="84"/>
    </row>
    <row r="31" spans="1:18" s="42" customFormat="1" ht="15" thickBot="1" x14ac:dyDescent="0.3">
      <c r="A31" s="79"/>
      <c r="B31" s="80" t="s">
        <v>19</v>
      </c>
      <c r="C31" s="80"/>
      <c r="D31" s="161" t="str">
        <f>CONCATENATE("Subtotal ",D10)</f>
        <v>Subtotal Roofs</v>
      </c>
      <c r="E31" s="160"/>
      <c r="F31" s="160"/>
      <c r="G31" s="160"/>
      <c r="H31" s="89">
        <f>H12</f>
        <v>246</v>
      </c>
      <c r="I31" s="90" t="s">
        <v>8</v>
      </c>
      <c r="J31" s="91">
        <f>M31/H31</f>
        <v>127.70325203252033</v>
      </c>
      <c r="K31" s="91">
        <v>119.9</v>
      </c>
      <c r="L31" s="89"/>
      <c r="M31" s="89">
        <f>SUM(M10:M30)</f>
        <v>31415</v>
      </c>
      <c r="N31" s="42">
        <f>R31</f>
        <v>31415</v>
      </c>
      <c r="O31" s="92"/>
      <c r="P31" s="93"/>
      <c r="Q31" s="93"/>
      <c r="R31" s="94">
        <f>SUM(P10:P31)+SUM(Q10:Q31)</f>
        <v>31415</v>
      </c>
    </row>
    <row r="32" spans="1:18" s="42" customFormat="1" ht="15" thickTop="1" x14ac:dyDescent="0.25">
      <c r="A32" s="79"/>
      <c r="B32" s="80"/>
      <c r="C32" s="80"/>
      <c r="O32" s="82"/>
      <c r="P32" s="83"/>
      <c r="Q32" s="83"/>
      <c r="R32" s="84"/>
    </row>
    <row r="33" spans="1:18" s="42" customFormat="1" x14ac:dyDescent="0.25">
      <c r="A33" s="79"/>
      <c r="B33" s="80" t="s">
        <v>19</v>
      </c>
      <c r="C33" s="86">
        <v>2</v>
      </c>
      <c r="D33" s="159" t="s">
        <v>30</v>
      </c>
      <c r="E33" s="160"/>
      <c r="F33" s="160"/>
      <c r="G33" s="160"/>
      <c r="O33" s="82"/>
      <c r="P33" s="83"/>
      <c r="Q33" s="83"/>
      <c r="R33" s="84"/>
    </row>
    <row r="34" spans="1:18" s="42" customFormat="1" x14ac:dyDescent="0.25">
      <c r="A34" s="79"/>
      <c r="B34" s="80"/>
      <c r="C34" s="86"/>
      <c r="D34" s="85"/>
      <c r="O34" s="82"/>
      <c r="P34" s="83"/>
      <c r="Q34" s="83"/>
      <c r="R34" s="84"/>
    </row>
    <row r="35" spans="1:18" s="42" customFormat="1" ht="15" customHeight="1" x14ac:dyDescent="0.25">
      <c r="A35" s="79"/>
      <c r="B35" s="80" t="s">
        <v>19</v>
      </c>
      <c r="C35" s="80">
        <f>C33+0.01</f>
        <v>2.0099999999999998</v>
      </c>
      <c r="D35" s="162" t="s">
        <v>31</v>
      </c>
      <c r="E35" s="162"/>
      <c r="F35" s="162"/>
      <c r="G35" s="162"/>
      <c r="H35" s="42">
        <f>ROUND(SUM(H37),0)</f>
        <v>850</v>
      </c>
      <c r="I35" s="99" t="s">
        <v>8</v>
      </c>
      <c r="J35" s="87">
        <v>80</v>
      </c>
      <c r="K35" s="87">
        <v>259.5419847328244</v>
      </c>
      <c r="M35" s="151">
        <f>ROUND(+H35*J35,0)</f>
        <v>68000</v>
      </c>
      <c r="O35" s="115" t="s">
        <v>15</v>
      </c>
      <c r="P35" s="96">
        <f>M35</f>
        <v>68000</v>
      </c>
      <c r="Q35" s="96"/>
      <c r="R35" s="84"/>
    </row>
    <row r="36" spans="1:18" s="42" customFormat="1" ht="15" customHeight="1" x14ac:dyDescent="0.25">
      <c r="A36" s="79"/>
      <c r="B36" s="80"/>
      <c r="C36" s="80"/>
      <c r="D36" s="101"/>
      <c r="E36" s="101"/>
      <c r="F36" s="101"/>
      <c r="G36" s="101"/>
      <c r="H36" s="101"/>
      <c r="O36" s="82"/>
      <c r="P36" s="96"/>
      <c r="Q36" s="96"/>
      <c r="R36" s="84"/>
    </row>
    <row r="37" spans="1:18" s="42" customFormat="1" ht="15" customHeight="1" outlineLevel="2" x14ac:dyDescent="0.25">
      <c r="A37" s="79"/>
      <c r="B37" s="80"/>
      <c r="C37" s="80"/>
      <c r="D37" s="101">
        <v>6.2</v>
      </c>
      <c r="E37" s="101" t="s">
        <v>32</v>
      </c>
      <c r="F37" s="101"/>
      <c r="G37" s="101"/>
      <c r="H37" s="101">
        <f>SUM(H39:H41)</f>
        <v>849.63599999999997</v>
      </c>
      <c r="O37" s="82"/>
      <c r="P37" s="96"/>
      <c r="Q37" s="96"/>
      <c r="R37" s="84"/>
    </row>
    <row r="38" spans="1:18" s="42" customFormat="1" ht="15" customHeight="1" outlineLevel="2" x14ac:dyDescent="0.25">
      <c r="A38" s="79"/>
      <c r="B38" s="80"/>
      <c r="C38" s="80"/>
      <c r="D38" s="101">
        <v>3</v>
      </c>
      <c r="E38" s="101" t="s">
        <v>32</v>
      </c>
      <c r="F38" s="101"/>
      <c r="G38" s="101"/>
      <c r="H38" s="101"/>
      <c r="O38" s="82"/>
      <c r="P38" s="96"/>
      <c r="Q38" s="96"/>
      <c r="R38" s="84"/>
    </row>
    <row r="39" spans="1:18" s="42" customFormat="1" ht="15" customHeight="1" outlineLevel="2" x14ac:dyDescent="0.25">
      <c r="A39" s="79"/>
      <c r="B39" s="80"/>
      <c r="C39" s="80"/>
      <c r="D39" s="101"/>
      <c r="E39" s="101"/>
      <c r="F39" s="101"/>
      <c r="G39" s="101"/>
      <c r="H39" s="101"/>
      <c r="O39" s="82"/>
      <c r="P39" s="96"/>
      <c r="Q39" s="96"/>
      <c r="R39" s="84"/>
    </row>
    <row r="40" spans="1:18" s="42" customFormat="1" ht="15" customHeight="1" outlineLevel="2" x14ac:dyDescent="0.25">
      <c r="A40" s="79"/>
      <c r="B40" s="80"/>
      <c r="C40" s="80"/>
      <c r="D40" s="101">
        <v>2</v>
      </c>
      <c r="E40" s="101">
        <f>E24</f>
        <v>52.29</v>
      </c>
      <c r="F40" s="101">
        <f>D37</f>
        <v>6.2</v>
      </c>
      <c r="G40" s="101">
        <v>1</v>
      </c>
      <c r="H40" s="101">
        <f>D40*E40*F40*G40</f>
        <v>648.39599999999996</v>
      </c>
      <c r="I40" s="102"/>
      <c r="J40" s="87"/>
      <c r="K40" s="87"/>
      <c r="O40" s="82"/>
      <c r="P40" s="96"/>
      <c r="Q40" s="96"/>
      <c r="R40" s="84"/>
    </row>
    <row r="41" spans="1:18" s="42" customFormat="1" ht="15" customHeight="1" outlineLevel="2" x14ac:dyDescent="0.25">
      <c r="A41" s="79"/>
      <c r="B41" s="80"/>
      <c r="C41" s="80"/>
      <c r="D41" s="101">
        <v>2</v>
      </c>
      <c r="E41" s="101">
        <f>E25</f>
        <v>33.54</v>
      </c>
      <c r="F41" s="101">
        <f>D38</f>
        <v>3</v>
      </c>
      <c r="G41" s="101">
        <v>1</v>
      </c>
      <c r="H41" s="101">
        <f>D41*E41*F41*G41</f>
        <v>201.24</v>
      </c>
      <c r="I41" s="44"/>
      <c r="J41" s="87"/>
      <c r="K41" s="87"/>
      <c r="O41" s="82"/>
      <c r="P41" s="96"/>
      <c r="Q41" s="96"/>
      <c r="R41" s="84"/>
    </row>
    <row r="42" spans="1:18" s="42" customFormat="1" ht="15" customHeight="1" outlineLevel="2" x14ac:dyDescent="0.25">
      <c r="A42" s="79"/>
      <c r="B42" s="80"/>
      <c r="C42" s="80"/>
      <c r="D42" s="101">
        <v>1</v>
      </c>
      <c r="E42" s="101">
        <f>E26</f>
        <v>25.37</v>
      </c>
      <c r="F42" s="101">
        <f>D38</f>
        <v>3</v>
      </c>
      <c r="G42" s="101">
        <v>1</v>
      </c>
      <c r="H42" s="101">
        <f>D42*E42*F42*G42</f>
        <v>76.11</v>
      </c>
      <c r="I42" s="102"/>
      <c r="J42" s="87"/>
      <c r="K42" s="87"/>
      <c r="O42" s="82"/>
      <c r="P42" s="96"/>
      <c r="Q42" s="96"/>
      <c r="R42" s="84"/>
    </row>
    <row r="43" spans="1:18" s="42" customFormat="1" ht="15" customHeight="1" outlineLevel="2" x14ac:dyDescent="0.25">
      <c r="A43" s="79"/>
      <c r="B43" s="80"/>
      <c r="C43" s="80"/>
      <c r="D43" s="101"/>
      <c r="E43" s="101"/>
      <c r="F43" s="101"/>
      <c r="G43" s="101"/>
      <c r="H43" s="101"/>
      <c r="I43" s="102"/>
      <c r="J43" s="87"/>
      <c r="K43" s="87"/>
      <c r="O43" s="82"/>
      <c r="P43" s="96"/>
      <c r="Q43" s="96"/>
      <c r="R43" s="84"/>
    </row>
    <row r="44" spans="1:18" s="42" customFormat="1" ht="15" customHeight="1" outlineLevel="2" x14ac:dyDescent="0.25">
      <c r="A44" s="79"/>
      <c r="B44" s="80"/>
      <c r="C44" s="80"/>
      <c r="D44" s="101"/>
      <c r="E44" s="101"/>
      <c r="F44" s="101"/>
      <c r="G44" s="101"/>
      <c r="H44" s="101"/>
      <c r="I44" s="103"/>
      <c r="O44" s="82"/>
      <c r="P44" s="96"/>
      <c r="Q44" s="96"/>
      <c r="R44" s="84"/>
    </row>
    <row r="45" spans="1:18" s="42" customFormat="1" ht="15" customHeight="1" x14ac:dyDescent="0.25">
      <c r="A45" s="79"/>
      <c r="B45" s="80" t="s">
        <v>19</v>
      </c>
      <c r="C45" s="80">
        <f>C35+0.01</f>
        <v>2.0199999999999996</v>
      </c>
      <c r="D45" s="162" t="s">
        <v>33</v>
      </c>
      <c r="E45" s="162"/>
      <c r="F45" s="162"/>
      <c r="G45" s="162"/>
      <c r="H45" s="42">
        <f>ROUND(SUM(H47),0)</f>
        <v>850</v>
      </c>
      <c r="I45" s="99" t="s">
        <v>8</v>
      </c>
      <c r="J45" s="87">
        <v>40</v>
      </c>
      <c r="K45" s="87">
        <v>129.7709923664122</v>
      </c>
      <c r="M45" s="151">
        <f>ROUND(+H45*J45,0)</f>
        <v>34000</v>
      </c>
      <c r="O45" s="115" t="s">
        <v>15</v>
      </c>
      <c r="P45" s="96">
        <f>M45</f>
        <v>34000</v>
      </c>
      <c r="Q45" s="96"/>
      <c r="R45" s="84"/>
    </row>
    <row r="46" spans="1:18" s="42" customFormat="1" ht="15" customHeight="1" x14ac:dyDescent="0.25">
      <c r="A46" s="79"/>
      <c r="B46" s="80"/>
      <c r="C46" s="80"/>
      <c r="D46" s="101"/>
      <c r="E46" s="101"/>
      <c r="F46" s="101"/>
      <c r="G46" s="101"/>
      <c r="H46" s="101"/>
      <c r="O46" s="82"/>
      <c r="P46" s="96"/>
      <c r="Q46" s="96"/>
      <c r="R46" s="84"/>
    </row>
    <row r="47" spans="1:18" s="42" customFormat="1" ht="15" customHeight="1" outlineLevel="2" x14ac:dyDescent="0.25">
      <c r="A47" s="79"/>
      <c r="B47" s="80"/>
      <c r="C47" s="80"/>
      <c r="D47" s="101"/>
      <c r="E47" s="101"/>
      <c r="F47" s="101"/>
      <c r="G47" s="101"/>
      <c r="H47" s="101">
        <f>SUM(H48:H51)</f>
        <v>850</v>
      </c>
      <c r="O47" s="82"/>
      <c r="P47" s="96"/>
      <c r="Q47" s="96"/>
      <c r="R47" s="84"/>
    </row>
    <row r="48" spans="1:18" s="42" customFormat="1" ht="15" customHeight="1" outlineLevel="2" x14ac:dyDescent="0.25">
      <c r="A48" s="79"/>
      <c r="B48" s="80"/>
      <c r="C48" s="80"/>
      <c r="D48" s="101"/>
      <c r="E48" s="101"/>
      <c r="F48" s="101"/>
      <c r="G48" s="101"/>
      <c r="H48" s="101"/>
      <c r="O48" s="82"/>
      <c r="P48" s="96"/>
      <c r="Q48" s="96"/>
      <c r="R48" s="84"/>
    </row>
    <row r="49" spans="1:18" s="42" customFormat="1" ht="15" customHeight="1" outlineLevel="2" x14ac:dyDescent="0.25">
      <c r="A49" s="79"/>
      <c r="B49" s="80"/>
      <c r="C49" s="80"/>
      <c r="D49" s="101">
        <v>1</v>
      </c>
      <c r="E49" s="101">
        <f>H35</f>
        <v>850</v>
      </c>
      <c r="F49" s="101">
        <v>1</v>
      </c>
      <c r="G49" s="101">
        <v>1</v>
      </c>
      <c r="H49" s="101">
        <f>D49*E49*F49*G49</f>
        <v>850</v>
      </c>
      <c r="I49" s="102"/>
      <c r="J49" s="87"/>
      <c r="K49" s="87"/>
      <c r="O49" s="82"/>
      <c r="P49" s="96"/>
      <c r="Q49" s="96"/>
      <c r="R49" s="84"/>
    </row>
    <row r="50" spans="1:18" s="42" customFormat="1" ht="15" customHeight="1" outlineLevel="2" x14ac:dyDescent="0.25">
      <c r="A50" s="79"/>
      <c r="B50" s="80"/>
      <c r="C50" s="80"/>
      <c r="D50" s="101"/>
      <c r="E50" s="101"/>
      <c r="F50" s="101"/>
      <c r="G50" s="101"/>
      <c r="H50" s="101"/>
      <c r="I50" s="102"/>
      <c r="J50" s="87"/>
      <c r="K50" s="87"/>
      <c r="O50" s="82"/>
      <c r="P50" s="96"/>
      <c r="Q50" s="96"/>
      <c r="R50" s="84"/>
    </row>
    <row r="51" spans="1:18" s="42" customFormat="1" ht="15" customHeight="1" outlineLevel="2" x14ac:dyDescent="0.25">
      <c r="A51" s="79"/>
      <c r="B51" s="80"/>
      <c r="C51" s="80"/>
      <c r="D51" s="101"/>
      <c r="E51" s="101"/>
      <c r="F51" s="101"/>
      <c r="G51" s="101"/>
      <c r="H51" s="101"/>
      <c r="I51" s="44"/>
      <c r="J51" s="87"/>
      <c r="K51" s="87"/>
      <c r="O51" s="82"/>
      <c r="P51" s="96"/>
      <c r="Q51" s="96"/>
      <c r="R51" s="84"/>
    </row>
    <row r="52" spans="1:18" s="42" customFormat="1" ht="15" customHeight="1" outlineLevel="2" x14ac:dyDescent="0.25">
      <c r="A52" s="79"/>
      <c r="B52" s="80"/>
      <c r="C52" s="80"/>
      <c r="D52" s="101"/>
      <c r="E52" s="101"/>
      <c r="F52" s="101"/>
      <c r="G52" s="101"/>
      <c r="H52" s="101"/>
      <c r="I52" s="103"/>
      <c r="O52" s="82"/>
      <c r="P52" s="96"/>
      <c r="Q52" s="96"/>
      <c r="R52" s="84"/>
    </row>
    <row r="53" spans="1:18" s="42" customFormat="1" ht="15" customHeight="1" outlineLevel="1" x14ac:dyDescent="0.25">
      <c r="A53" s="79"/>
      <c r="B53" s="80"/>
      <c r="C53" s="80"/>
      <c r="D53" s="87"/>
      <c r="E53" s="87"/>
      <c r="F53" s="87"/>
      <c r="G53" s="87"/>
      <c r="H53" s="87"/>
      <c r="J53" s="87"/>
      <c r="K53" s="87"/>
      <c r="O53" s="82"/>
      <c r="P53" s="96"/>
      <c r="Q53" s="96"/>
      <c r="R53" s="84"/>
    </row>
    <row r="54" spans="1:18" s="42" customFormat="1" ht="29.25" customHeight="1" x14ac:dyDescent="0.25">
      <c r="A54" s="79"/>
      <c r="B54" s="80"/>
      <c r="C54" s="80">
        <f>C45+0.01</f>
        <v>2.0299999999999994</v>
      </c>
      <c r="D54" s="162" t="s">
        <v>28</v>
      </c>
      <c r="E54" s="162"/>
      <c r="F54" s="162"/>
      <c r="G54" s="162"/>
      <c r="H54" s="41">
        <v>0.03</v>
      </c>
      <c r="I54" s="99" t="s">
        <v>19</v>
      </c>
      <c r="J54" s="42">
        <f>SUM(Q32:Q54)</f>
        <v>0</v>
      </c>
      <c r="K54" s="87">
        <v>0</v>
      </c>
      <c r="M54" s="42">
        <f>ROUND(+H54*J54,0)</f>
        <v>0</v>
      </c>
      <c r="O54" s="82" t="s">
        <v>29</v>
      </c>
      <c r="P54" s="83">
        <f>M54</f>
        <v>0</v>
      </c>
      <c r="Q54" s="83"/>
      <c r="R54" s="84"/>
    </row>
    <row r="55" spans="1:18" s="42" customFormat="1" ht="15" customHeight="1" x14ac:dyDescent="0.25">
      <c r="A55" s="79"/>
      <c r="B55" s="80"/>
      <c r="C55" s="80"/>
      <c r="O55" s="82"/>
      <c r="P55" s="83"/>
      <c r="Q55" s="83"/>
      <c r="R55" s="84"/>
    </row>
    <row r="56" spans="1:18" s="42" customFormat="1" ht="15" customHeight="1" x14ac:dyDescent="0.25">
      <c r="A56" s="79"/>
      <c r="B56" s="80"/>
      <c r="C56" s="80" t="s">
        <v>19</v>
      </c>
      <c r="H56" s="88"/>
      <c r="I56" s="88"/>
      <c r="J56" s="88"/>
      <c r="K56" s="88"/>
      <c r="L56" s="88"/>
      <c r="M56" s="88"/>
      <c r="O56" s="82"/>
      <c r="P56" s="83"/>
      <c r="Q56" s="83"/>
      <c r="R56" s="84"/>
    </row>
    <row r="57" spans="1:18" s="42" customFormat="1" ht="15" customHeight="1" thickBot="1" x14ac:dyDescent="0.3">
      <c r="A57" s="79"/>
      <c r="B57" s="80"/>
      <c r="C57" s="80"/>
      <c r="D57" s="161" t="str">
        <f>CONCATENATE("Subtotal ",D33)</f>
        <v>Subtotal External Walling</v>
      </c>
      <c r="E57" s="160"/>
      <c r="F57" s="160"/>
      <c r="G57" s="160"/>
      <c r="H57" s="89">
        <f>H35+H45</f>
        <v>1700</v>
      </c>
      <c r="I57" s="90" t="s">
        <v>8</v>
      </c>
      <c r="J57" s="91">
        <f>M57/H57</f>
        <v>60</v>
      </c>
      <c r="K57" s="91">
        <v>389.31</v>
      </c>
      <c r="L57" s="89"/>
      <c r="M57" s="89">
        <f>SUM(M33:M56)</f>
        <v>102000</v>
      </c>
      <c r="N57" s="42">
        <f>R57</f>
        <v>102000</v>
      </c>
      <c r="O57" s="92"/>
      <c r="P57" s="93"/>
      <c r="Q57" s="93"/>
      <c r="R57" s="94">
        <f>SUM(P32:P57)+SUM(Q32:Q57)</f>
        <v>102000</v>
      </c>
    </row>
    <row r="58" spans="1:18" s="42" customFormat="1" ht="15" thickTop="1" x14ac:dyDescent="0.25">
      <c r="A58" s="79"/>
      <c r="B58" s="80"/>
      <c r="C58" s="80"/>
      <c r="O58" s="82"/>
      <c r="P58" s="83"/>
      <c r="Q58" s="83"/>
      <c r="R58" s="84"/>
    </row>
    <row r="59" spans="1:18" s="42" customFormat="1" ht="15" customHeight="1" x14ac:dyDescent="0.25">
      <c r="A59" s="79"/>
      <c r="B59" s="80" t="s">
        <v>19</v>
      </c>
      <c r="C59" s="86">
        <v>3</v>
      </c>
      <c r="D59" s="159" t="s">
        <v>34</v>
      </c>
      <c r="E59" s="160"/>
      <c r="F59" s="160"/>
      <c r="G59" s="160"/>
      <c r="O59" s="82"/>
      <c r="P59" s="83"/>
      <c r="Q59" s="83"/>
      <c r="R59" s="84"/>
    </row>
    <row r="60" spans="1:18" s="42" customFormat="1" ht="15" customHeight="1" x14ac:dyDescent="0.25">
      <c r="A60" s="79"/>
      <c r="B60" s="80"/>
      <c r="C60" s="86"/>
      <c r="D60" s="97"/>
      <c r="E60" s="98"/>
      <c r="F60" s="98"/>
      <c r="G60" s="98"/>
      <c r="O60" s="82"/>
      <c r="P60" s="83"/>
      <c r="Q60" s="83"/>
      <c r="R60" s="84"/>
    </row>
    <row r="61" spans="1:18" s="42" customFormat="1" ht="15" customHeight="1" x14ac:dyDescent="0.25">
      <c r="A61" s="79"/>
      <c r="B61" s="80" t="s">
        <v>19</v>
      </c>
      <c r="C61" s="80">
        <f>C59+0.01</f>
        <v>3.01</v>
      </c>
      <c r="D61" s="162" t="s">
        <v>35</v>
      </c>
      <c r="E61" s="162"/>
      <c r="F61" s="162"/>
      <c r="G61" s="162"/>
      <c r="H61" s="42">
        <f>ROUND(H64,0)</f>
        <v>62</v>
      </c>
      <c r="I61" s="99" t="s">
        <v>8</v>
      </c>
      <c r="J61" s="87">
        <f>M61/H61</f>
        <v>223.25806451612902</v>
      </c>
      <c r="K61" s="87">
        <v>52.832061068702288</v>
      </c>
      <c r="M61" s="42">
        <f>ROUND(SUM(L61:L93),0)</f>
        <v>13842</v>
      </c>
      <c r="O61" s="82"/>
      <c r="P61" s="96"/>
      <c r="Q61" s="96"/>
      <c r="R61" s="84"/>
    </row>
    <row r="62" spans="1:18" s="42" customFormat="1" ht="15" customHeight="1" x14ac:dyDescent="0.25">
      <c r="A62" s="79"/>
      <c r="B62" s="80"/>
      <c r="C62" s="80"/>
      <c r="D62" s="101"/>
      <c r="E62" s="101"/>
      <c r="F62" s="101"/>
      <c r="G62" s="101"/>
      <c r="H62" s="101"/>
      <c r="J62" s="87"/>
      <c r="K62" s="87"/>
      <c r="O62" s="82"/>
      <c r="P62" s="96"/>
      <c r="Q62" s="96"/>
      <c r="R62" s="84"/>
    </row>
    <row r="63" spans="1:18" s="42" customFormat="1" ht="15" customHeight="1" outlineLevel="2" x14ac:dyDescent="0.25">
      <c r="A63" s="79"/>
      <c r="B63" s="80"/>
      <c r="C63" s="104"/>
      <c r="D63" s="119">
        <v>3</v>
      </c>
      <c r="E63" s="105" t="s">
        <v>32</v>
      </c>
      <c r="F63" s="101"/>
      <c r="G63" s="105"/>
      <c r="H63" s="105"/>
      <c r="I63" s="105"/>
      <c r="J63" s="105"/>
      <c r="K63" s="105"/>
      <c r="L63" s="105"/>
      <c r="M63" s="105"/>
      <c r="N63" s="105"/>
      <c r="O63" s="106"/>
      <c r="P63" s="107"/>
      <c r="Q63" s="107"/>
      <c r="R63" s="108"/>
    </row>
    <row r="64" spans="1:18" s="42" customFormat="1" ht="15" customHeight="1" outlineLevel="2" x14ac:dyDescent="0.25">
      <c r="A64" s="79"/>
      <c r="B64" s="80"/>
      <c r="C64" s="80"/>
      <c r="D64" s="101"/>
      <c r="E64" s="101"/>
      <c r="F64" s="101"/>
      <c r="G64" s="101"/>
      <c r="H64" s="101">
        <f>SUM(H66:H70)</f>
        <v>61.598999999999997</v>
      </c>
      <c r="K64" s="87"/>
      <c r="O64" s="82"/>
      <c r="P64" s="96"/>
      <c r="Q64" s="96"/>
      <c r="R64" s="84"/>
    </row>
    <row r="65" spans="1:255" s="105" customFormat="1" ht="15" customHeight="1" outlineLevel="2" x14ac:dyDescent="0.25">
      <c r="A65" s="79"/>
      <c r="B65" s="80"/>
      <c r="C65" s="80"/>
      <c r="D65" s="101"/>
      <c r="E65" s="101"/>
      <c r="F65" s="101"/>
      <c r="G65" s="101"/>
      <c r="H65" s="101"/>
      <c r="I65" s="42"/>
      <c r="J65" s="42"/>
      <c r="K65" s="87"/>
      <c r="L65" s="42"/>
      <c r="M65" s="42"/>
      <c r="N65" s="42"/>
      <c r="O65" s="82"/>
      <c r="P65" s="96"/>
      <c r="Q65" s="96"/>
      <c r="R65" s="84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  <c r="FK65" s="42"/>
      <c r="FL65" s="42"/>
      <c r="FM65" s="42"/>
      <c r="FN65" s="42"/>
      <c r="FO65" s="42"/>
      <c r="FP65" s="42"/>
      <c r="FQ65" s="42"/>
      <c r="FR65" s="42"/>
      <c r="FS65" s="42"/>
      <c r="FT65" s="42"/>
      <c r="FU65" s="42"/>
      <c r="FV65" s="42"/>
      <c r="FW65" s="42"/>
      <c r="FX65" s="42"/>
      <c r="FY65" s="42"/>
      <c r="FZ65" s="42"/>
      <c r="GA65" s="42"/>
      <c r="GB65" s="42"/>
      <c r="GC65" s="42"/>
      <c r="GD65" s="42"/>
      <c r="GE65" s="42"/>
      <c r="GF65" s="42"/>
      <c r="GG65" s="42"/>
      <c r="GH65" s="42"/>
      <c r="GI65" s="42"/>
      <c r="GJ65" s="42"/>
      <c r="GK65" s="42"/>
      <c r="GL65" s="42"/>
      <c r="GM65" s="42"/>
      <c r="GN65" s="42"/>
      <c r="GO65" s="42"/>
      <c r="GP65" s="42"/>
      <c r="GQ65" s="42"/>
      <c r="GR65" s="42"/>
      <c r="GS65" s="42"/>
      <c r="GT65" s="42"/>
      <c r="GU65" s="42"/>
      <c r="GV65" s="42"/>
      <c r="GW65" s="42"/>
      <c r="GX65" s="42"/>
      <c r="GY65" s="42"/>
      <c r="GZ65" s="42"/>
      <c r="HA65" s="42"/>
      <c r="HB65" s="42"/>
      <c r="HC65" s="42"/>
      <c r="HD65" s="42"/>
      <c r="HE65" s="42"/>
      <c r="HF65" s="42"/>
      <c r="HG65" s="42"/>
      <c r="HH65" s="42"/>
      <c r="HI65" s="42"/>
      <c r="HJ65" s="42"/>
      <c r="HK65" s="42"/>
      <c r="HL65" s="42"/>
      <c r="HM65" s="42"/>
      <c r="HN65" s="42"/>
      <c r="HO65" s="42"/>
      <c r="HP65" s="42"/>
      <c r="HQ65" s="42"/>
      <c r="HR65" s="42"/>
      <c r="HS65" s="42"/>
      <c r="HT65" s="42"/>
      <c r="HU65" s="42"/>
      <c r="HV65" s="42"/>
      <c r="HW65" s="42"/>
      <c r="HX65" s="42"/>
      <c r="HY65" s="42"/>
      <c r="HZ65" s="42"/>
      <c r="IA65" s="42"/>
      <c r="IB65" s="42"/>
      <c r="IC65" s="42"/>
      <c r="ID65" s="42"/>
      <c r="IE65" s="42"/>
      <c r="IF65" s="42"/>
      <c r="IG65" s="42"/>
      <c r="IH65" s="42"/>
      <c r="II65" s="42"/>
      <c r="IJ65" s="42"/>
      <c r="IK65" s="42"/>
      <c r="IL65" s="42"/>
      <c r="IM65" s="42"/>
      <c r="IN65" s="42"/>
      <c r="IO65" s="42"/>
      <c r="IP65" s="42"/>
      <c r="IQ65" s="42"/>
      <c r="IR65" s="42"/>
      <c r="IS65" s="42"/>
      <c r="IT65" s="42"/>
      <c r="IU65" s="42"/>
    </row>
    <row r="66" spans="1:255" s="42" customFormat="1" ht="15" customHeight="1" outlineLevel="2" x14ac:dyDescent="0.25">
      <c r="A66" s="79"/>
      <c r="B66" s="80"/>
      <c r="C66" s="80"/>
      <c r="D66" s="101">
        <v>1</v>
      </c>
      <c r="E66" s="101">
        <v>6.02</v>
      </c>
      <c r="F66" s="101">
        <f>D63</f>
        <v>3</v>
      </c>
      <c r="G66" s="101">
        <v>1</v>
      </c>
      <c r="H66" s="101">
        <f>D66*E66*F66*G66</f>
        <v>18.059999999999999</v>
      </c>
      <c r="I66" s="44"/>
      <c r="K66" s="87"/>
      <c r="O66" s="82"/>
      <c r="P66" s="96"/>
      <c r="Q66" s="96"/>
      <c r="R66" s="84"/>
    </row>
    <row r="67" spans="1:255" s="42" customFormat="1" ht="15" customHeight="1" outlineLevel="2" x14ac:dyDescent="0.25">
      <c r="A67" s="79"/>
      <c r="B67" s="80"/>
      <c r="C67" s="80"/>
      <c r="D67" s="101">
        <v>1</v>
      </c>
      <c r="E67" s="101">
        <v>6.32</v>
      </c>
      <c r="F67" s="101">
        <f>D63</f>
        <v>3</v>
      </c>
      <c r="G67" s="101">
        <v>1</v>
      </c>
      <c r="H67" s="101">
        <f t="shared" ref="H67:H69" si="1">D67*E67*F67*G67</f>
        <v>18.96</v>
      </c>
      <c r="I67" s="44"/>
      <c r="K67" s="87"/>
      <c r="O67" s="82"/>
      <c r="P67" s="96"/>
      <c r="Q67" s="96"/>
      <c r="R67" s="84"/>
    </row>
    <row r="68" spans="1:255" s="42" customFormat="1" ht="15" customHeight="1" outlineLevel="2" x14ac:dyDescent="0.25">
      <c r="A68" s="79"/>
      <c r="B68" s="80"/>
      <c r="C68" s="80"/>
      <c r="D68" s="101">
        <v>1</v>
      </c>
      <c r="E68" s="101">
        <v>3.88</v>
      </c>
      <c r="F68" s="101">
        <f>D63</f>
        <v>3</v>
      </c>
      <c r="G68" s="101">
        <v>1</v>
      </c>
      <c r="H68" s="101">
        <f t="shared" si="1"/>
        <v>11.64</v>
      </c>
      <c r="I68" s="44"/>
      <c r="K68" s="87"/>
      <c r="O68" s="82"/>
      <c r="P68" s="96"/>
      <c r="Q68" s="96"/>
      <c r="R68" s="84"/>
    </row>
    <row r="69" spans="1:255" s="42" customFormat="1" ht="15" customHeight="1" outlineLevel="2" x14ac:dyDescent="0.25">
      <c r="A69" s="79"/>
      <c r="B69" s="80"/>
      <c r="C69" s="80"/>
      <c r="D69" s="101">
        <v>1</v>
      </c>
      <c r="E69" s="101">
        <v>3.62</v>
      </c>
      <c r="F69" s="101">
        <f>D63</f>
        <v>3</v>
      </c>
      <c r="G69" s="101">
        <v>1</v>
      </c>
      <c r="H69" s="101">
        <f t="shared" si="1"/>
        <v>10.86</v>
      </c>
      <c r="I69" s="44"/>
      <c r="K69" s="87"/>
      <c r="O69" s="82"/>
      <c r="P69" s="96"/>
      <c r="Q69" s="96"/>
      <c r="R69" s="84"/>
    </row>
    <row r="70" spans="1:255" s="42" customFormat="1" ht="15" customHeight="1" outlineLevel="2" x14ac:dyDescent="0.25">
      <c r="A70" s="79"/>
      <c r="B70" s="80"/>
      <c r="C70" s="80"/>
      <c r="D70" s="101">
        <v>1</v>
      </c>
      <c r="E70" s="101">
        <v>0.9</v>
      </c>
      <c r="F70" s="101">
        <v>2.31</v>
      </c>
      <c r="G70" s="101">
        <v>1</v>
      </c>
      <c r="H70" s="101">
        <f>D70*E70*F70*G70</f>
        <v>2.0790000000000002</v>
      </c>
      <c r="I70" s="44" t="s">
        <v>36</v>
      </c>
      <c r="K70" s="87"/>
      <c r="O70" s="82"/>
      <c r="P70" s="96"/>
      <c r="Q70" s="96"/>
      <c r="R70" s="84"/>
    </row>
    <row r="71" spans="1:255" s="105" customFormat="1" ht="15" customHeight="1" outlineLevel="2" x14ac:dyDescent="0.25">
      <c r="A71" s="79"/>
      <c r="B71" s="80"/>
      <c r="C71" s="80"/>
      <c r="D71" s="101"/>
      <c r="E71" s="101"/>
      <c r="F71" s="101"/>
      <c r="G71" s="101"/>
      <c r="H71" s="101"/>
      <c r="I71" s="44"/>
      <c r="J71" s="87"/>
      <c r="K71" s="87"/>
      <c r="L71" s="42"/>
      <c r="M71" s="42"/>
      <c r="N71" s="42"/>
      <c r="O71" s="82"/>
      <c r="P71" s="96"/>
      <c r="Q71" s="96"/>
      <c r="R71" s="84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  <c r="FK71" s="42"/>
      <c r="FL71" s="42"/>
      <c r="FM71" s="42"/>
      <c r="FN71" s="42"/>
      <c r="FO71" s="42"/>
      <c r="FP71" s="42"/>
      <c r="FQ71" s="42"/>
      <c r="FR71" s="42"/>
      <c r="FS71" s="42"/>
      <c r="FT71" s="42"/>
      <c r="FU71" s="42"/>
      <c r="FV71" s="42"/>
      <c r="FW71" s="42"/>
      <c r="FX71" s="42"/>
      <c r="FY71" s="42"/>
      <c r="FZ71" s="42"/>
      <c r="GA71" s="42"/>
      <c r="GB71" s="42"/>
      <c r="GC71" s="42"/>
      <c r="GD71" s="42"/>
      <c r="GE71" s="42"/>
      <c r="GF71" s="42"/>
      <c r="GG71" s="42"/>
      <c r="GH71" s="42"/>
      <c r="GI71" s="42"/>
      <c r="GJ71" s="42"/>
      <c r="GK71" s="42"/>
      <c r="GL71" s="42"/>
      <c r="GM71" s="42"/>
      <c r="GN71" s="42"/>
      <c r="GO71" s="42"/>
      <c r="GP71" s="42"/>
      <c r="GQ71" s="42"/>
      <c r="GR71" s="42"/>
      <c r="GS71" s="42"/>
      <c r="GT71" s="42"/>
      <c r="GU71" s="42"/>
      <c r="GV71" s="42"/>
      <c r="GW71" s="42"/>
      <c r="GX71" s="42"/>
      <c r="GY71" s="42"/>
      <c r="GZ71" s="42"/>
      <c r="HA71" s="42"/>
      <c r="HB71" s="42"/>
      <c r="HC71" s="42"/>
      <c r="HD71" s="42"/>
      <c r="HE71" s="42"/>
      <c r="HF71" s="42"/>
      <c r="HG71" s="42"/>
      <c r="HH71" s="42"/>
      <c r="HI71" s="42"/>
      <c r="HJ71" s="42"/>
      <c r="HK71" s="42"/>
      <c r="HL71" s="42"/>
      <c r="HM71" s="42"/>
      <c r="HN71" s="42"/>
      <c r="HO71" s="42"/>
      <c r="HP71" s="42"/>
      <c r="HQ71" s="42"/>
      <c r="HR71" s="42"/>
      <c r="HS71" s="42"/>
      <c r="HT71" s="42"/>
      <c r="HU71" s="42"/>
      <c r="HV71" s="42"/>
      <c r="HW71" s="42"/>
      <c r="HX71" s="42"/>
      <c r="HY71" s="42"/>
      <c r="HZ71" s="42"/>
      <c r="IA71" s="42"/>
      <c r="IB71" s="42"/>
      <c r="IC71" s="42"/>
      <c r="ID71" s="42"/>
      <c r="IE71" s="42"/>
      <c r="IF71" s="42"/>
      <c r="IG71" s="42"/>
      <c r="IH71" s="42"/>
      <c r="II71" s="42"/>
      <c r="IJ71" s="42"/>
      <c r="IK71" s="42"/>
      <c r="IL71" s="42"/>
      <c r="IM71" s="42"/>
      <c r="IN71" s="42"/>
      <c r="IO71" s="42"/>
      <c r="IP71" s="42"/>
      <c r="IQ71" s="42"/>
      <c r="IR71" s="42"/>
      <c r="IS71" s="42"/>
      <c r="IT71" s="42"/>
      <c r="IU71" s="42"/>
    </row>
    <row r="72" spans="1:255" s="42" customFormat="1" ht="15" customHeight="1" outlineLevel="1" x14ac:dyDescent="0.25">
      <c r="A72" s="105"/>
      <c r="B72" s="104"/>
      <c r="C72" s="111">
        <f>C61+0.001</f>
        <v>3.0109999999999997</v>
      </c>
      <c r="D72" s="165" t="str">
        <f>D61</f>
        <v>Break 220mm Brick walls to create an opening</v>
      </c>
      <c r="E72" s="166"/>
      <c r="F72" s="166"/>
      <c r="G72" s="166"/>
      <c r="H72" s="105">
        <f>ROUND(H74,0)</f>
        <v>62</v>
      </c>
      <c r="I72" s="113" t="s">
        <v>8</v>
      </c>
      <c r="J72" s="152">
        <v>186</v>
      </c>
      <c r="K72" s="114">
        <v>44.015267175572518</v>
      </c>
      <c r="L72" s="105">
        <f>ROUND(+H72*J72,0)</f>
        <v>11532</v>
      </c>
      <c r="M72" s="105"/>
      <c r="N72" s="105"/>
      <c r="O72" s="115" t="s">
        <v>15</v>
      </c>
      <c r="P72" s="116">
        <f>L72</f>
        <v>11532</v>
      </c>
      <c r="Q72" s="116"/>
      <c r="R72" s="108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5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/>
      <c r="FF72" s="105"/>
      <c r="FG72" s="105"/>
      <c r="FH72" s="105"/>
      <c r="FI72" s="105"/>
      <c r="FJ72" s="105"/>
      <c r="FK72" s="105"/>
      <c r="FL72" s="105"/>
      <c r="FM72" s="105"/>
      <c r="FN72" s="105"/>
      <c r="FO72" s="105"/>
      <c r="FP72" s="105"/>
      <c r="FQ72" s="105"/>
      <c r="FR72" s="105"/>
      <c r="FS72" s="105"/>
      <c r="FT72" s="105"/>
      <c r="FU72" s="105"/>
      <c r="FV72" s="105"/>
      <c r="FW72" s="105"/>
      <c r="FX72" s="105"/>
      <c r="FY72" s="105"/>
      <c r="FZ72" s="105"/>
      <c r="GA72" s="105"/>
      <c r="GB72" s="105"/>
      <c r="GC72" s="105"/>
      <c r="GD72" s="105"/>
      <c r="GE72" s="105"/>
      <c r="GF72" s="105"/>
      <c r="GG72" s="105"/>
      <c r="GH72" s="105"/>
      <c r="GI72" s="105"/>
      <c r="GJ72" s="105"/>
      <c r="GK72" s="105"/>
      <c r="GL72" s="105"/>
      <c r="GM72" s="105"/>
      <c r="GN72" s="105"/>
      <c r="GO72" s="105"/>
      <c r="GP72" s="105"/>
      <c r="GQ72" s="105"/>
      <c r="GR72" s="105"/>
      <c r="GS72" s="105"/>
      <c r="GT72" s="105"/>
      <c r="GU72" s="105"/>
      <c r="GV72" s="105"/>
      <c r="GW72" s="105"/>
      <c r="GX72" s="105"/>
      <c r="GY72" s="105"/>
      <c r="GZ72" s="105"/>
      <c r="HA72" s="105"/>
      <c r="HB72" s="105"/>
      <c r="HC72" s="105"/>
      <c r="HD72" s="105"/>
      <c r="HE72" s="105"/>
      <c r="HF72" s="105"/>
      <c r="HG72" s="105"/>
      <c r="HH72" s="105"/>
      <c r="HI72" s="105"/>
      <c r="HJ72" s="105"/>
      <c r="HK72" s="105"/>
      <c r="HL72" s="105"/>
      <c r="HM72" s="105"/>
      <c r="HN72" s="105"/>
      <c r="HO72" s="105"/>
      <c r="HP72" s="105"/>
      <c r="HQ72" s="105"/>
      <c r="HR72" s="105"/>
      <c r="HS72" s="105"/>
      <c r="HT72" s="105"/>
      <c r="HU72" s="105"/>
      <c r="HV72" s="105"/>
      <c r="HW72" s="105"/>
      <c r="HX72" s="105"/>
      <c r="HY72" s="105"/>
      <c r="HZ72" s="105"/>
      <c r="IA72" s="105"/>
      <c r="IB72" s="105"/>
      <c r="IC72" s="105"/>
      <c r="ID72" s="105"/>
      <c r="IE72" s="105"/>
      <c r="IF72" s="105"/>
      <c r="IG72" s="105"/>
      <c r="IH72" s="105"/>
      <c r="II72" s="105"/>
      <c r="IJ72" s="105"/>
      <c r="IK72" s="105"/>
      <c r="IL72" s="105"/>
      <c r="IM72" s="105"/>
      <c r="IN72" s="105"/>
      <c r="IO72" s="105"/>
      <c r="IP72" s="105"/>
      <c r="IQ72" s="105"/>
      <c r="IR72" s="105"/>
      <c r="IS72" s="105"/>
      <c r="IT72" s="105"/>
      <c r="IU72" s="105"/>
    </row>
    <row r="73" spans="1:255" s="42" customFormat="1" ht="15" customHeight="1" outlineLevel="1" x14ac:dyDescent="0.25">
      <c r="A73" s="79"/>
      <c r="B73" s="80"/>
      <c r="C73" s="80"/>
      <c r="D73" s="109"/>
      <c r="E73" s="109"/>
      <c r="F73" s="109"/>
      <c r="G73" s="109"/>
      <c r="H73" s="101"/>
      <c r="J73" s="87"/>
      <c r="K73" s="87"/>
      <c r="O73" s="82"/>
      <c r="P73" s="96"/>
      <c r="Q73" s="96"/>
      <c r="R73" s="84"/>
    </row>
    <row r="74" spans="1:255" s="42" customFormat="1" ht="15" customHeight="1" outlineLevel="2" x14ac:dyDescent="0.25">
      <c r="A74" s="79"/>
      <c r="B74" s="80"/>
      <c r="C74" s="104"/>
      <c r="D74" s="105"/>
      <c r="E74" s="105"/>
      <c r="F74" s="105"/>
      <c r="G74" s="105"/>
      <c r="H74" s="101">
        <f>SUM(H76:H79)</f>
        <v>61.598999999999997</v>
      </c>
      <c r="I74" s="105"/>
      <c r="J74" s="105"/>
      <c r="K74" s="105"/>
      <c r="L74" s="105"/>
      <c r="M74" s="105"/>
      <c r="N74" s="105"/>
      <c r="O74" s="106"/>
      <c r="P74" s="107"/>
      <c r="Q74" s="107"/>
      <c r="R74" s="108"/>
    </row>
    <row r="75" spans="1:255" s="42" customFormat="1" ht="15" customHeight="1" outlineLevel="2" x14ac:dyDescent="0.25">
      <c r="A75" s="79"/>
      <c r="B75" s="80"/>
      <c r="C75" s="80"/>
      <c r="D75" s="101"/>
      <c r="E75" s="101"/>
      <c r="F75" s="101"/>
      <c r="G75" s="101"/>
      <c r="H75" s="101"/>
      <c r="J75" s="87"/>
      <c r="K75" s="87"/>
      <c r="O75" s="82"/>
      <c r="P75" s="96"/>
      <c r="Q75" s="96"/>
      <c r="R75" s="84"/>
    </row>
    <row r="76" spans="1:255" s="42" customFormat="1" ht="15" customHeight="1" outlineLevel="2" x14ac:dyDescent="0.25">
      <c r="A76" s="79"/>
      <c r="B76" s="80"/>
      <c r="C76" s="80"/>
      <c r="D76" s="101">
        <v>1</v>
      </c>
      <c r="E76" s="101">
        <f>H64</f>
        <v>61.598999999999997</v>
      </c>
      <c r="F76" s="101">
        <v>1</v>
      </c>
      <c r="G76" s="101">
        <v>1</v>
      </c>
      <c r="H76" s="101">
        <f>G76*F76*E76*D76</f>
        <v>61.598999999999997</v>
      </c>
      <c r="J76" s="87"/>
      <c r="K76" s="87"/>
      <c r="O76" s="82"/>
      <c r="P76" s="96"/>
      <c r="Q76" s="96"/>
      <c r="R76" s="84"/>
    </row>
    <row r="77" spans="1:255" s="42" customFormat="1" ht="15" customHeight="1" outlineLevel="2" x14ac:dyDescent="0.25">
      <c r="A77" s="79"/>
      <c r="B77" s="80"/>
      <c r="C77" s="80"/>
      <c r="D77" s="101">
        <v>1</v>
      </c>
      <c r="E77" s="101"/>
      <c r="F77" s="101">
        <v>1</v>
      </c>
      <c r="G77" s="101">
        <v>1</v>
      </c>
      <c r="H77" s="101">
        <f>G77*F77*E77*D77</f>
        <v>0</v>
      </c>
      <c r="J77" s="87"/>
      <c r="K77" s="87"/>
      <c r="O77" s="82"/>
      <c r="P77" s="96"/>
      <c r="Q77" s="96"/>
      <c r="R77" s="84"/>
    </row>
    <row r="78" spans="1:255" s="42" customFormat="1" ht="15" customHeight="1" outlineLevel="2" x14ac:dyDescent="0.25">
      <c r="A78" s="79"/>
      <c r="B78" s="80"/>
      <c r="C78" s="80"/>
      <c r="D78" s="101">
        <v>1</v>
      </c>
      <c r="E78" s="101"/>
      <c r="F78" s="101">
        <v>1</v>
      </c>
      <c r="G78" s="101">
        <v>1</v>
      </c>
      <c r="H78" s="101">
        <f>G78*F78*E78*D78</f>
        <v>0</v>
      </c>
      <c r="J78" s="87"/>
      <c r="K78" s="87"/>
      <c r="O78" s="82"/>
      <c r="P78" s="96"/>
      <c r="Q78" s="96"/>
      <c r="R78" s="84"/>
    </row>
    <row r="79" spans="1:255" s="105" customFormat="1" ht="15" customHeight="1" outlineLevel="2" x14ac:dyDescent="0.25">
      <c r="A79" s="79"/>
      <c r="B79" s="80"/>
      <c r="C79" s="80"/>
      <c r="D79" s="109"/>
      <c r="E79" s="109"/>
      <c r="F79" s="109"/>
      <c r="G79" s="109"/>
      <c r="H79" s="101"/>
      <c r="I79" s="42"/>
      <c r="J79" s="87"/>
      <c r="K79" s="87"/>
      <c r="L79" s="42"/>
      <c r="M79" s="42"/>
      <c r="N79" s="42"/>
      <c r="O79" s="82"/>
      <c r="P79" s="96"/>
      <c r="Q79" s="96"/>
      <c r="R79" s="84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  <c r="FK79" s="42"/>
      <c r="FL79" s="42"/>
      <c r="FM79" s="42"/>
      <c r="FN79" s="42"/>
      <c r="FO79" s="42"/>
      <c r="FP79" s="42"/>
      <c r="FQ79" s="42"/>
      <c r="FR79" s="42"/>
      <c r="FS79" s="42"/>
      <c r="FT79" s="42"/>
      <c r="FU79" s="42"/>
      <c r="FV79" s="42"/>
      <c r="FW79" s="42"/>
      <c r="FX79" s="42"/>
      <c r="FY79" s="42"/>
      <c r="FZ79" s="42"/>
      <c r="GA79" s="42"/>
      <c r="GB79" s="42"/>
      <c r="GC79" s="42"/>
      <c r="GD79" s="42"/>
      <c r="GE79" s="42"/>
      <c r="GF79" s="42"/>
      <c r="GG79" s="42"/>
      <c r="GH79" s="42"/>
      <c r="GI79" s="42"/>
      <c r="GJ79" s="42"/>
      <c r="GK79" s="42"/>
      <c r="GL79" s="42"/>
      <c r="GM79" s="42"/>
      <c r="GN79" s="42"/>
      <c r="GO79" s="42"/>
      <c r="GP79" s="42"/>
      <c r="GQ79" s="42"/>
      <c r="GR79" s="42"/>
      <c r="GS79" s="42"/>
      <c r="GT79" s="42"/>
      <c r="GU79" s="42"/>
      <c r="GV79" s="42"/>
      <c r="GW79" s="42"/>
      <c r="GX79" s="42"/>
      <c r="GY79" s="42"/>
      <c r="GZ79" s="42"/>
      <c r="HA79" s="42"/>
      <c r="HB79" s="42"/>
      <c r="HC79" s="42"/>
      <c r="HD79" s="42"/>
      <c r="HE79" s="42"/>
      <c r="HF79" s="42"/>
      <c r="HG79" s="42"/>
      <c r="HH79" s="42"/>
      <c r="HI79" s="42"/>
      <c r="HJ79" s="42"/>
      <c r="HK79" s="42"/>
      <c r="HL79" s="42"/>
      <c r="HM79" s="42"/>
      <c r="HN79" s="42"/>
      <c r="HO79" s="42"/>
      <c r="HP79" s="42"/>
      <c r="HQ79" s="42"/>
      <c r="HR79" s="42"/>
      <c r="HS79" s="42"/>
      <c r="HT79" s="42"/>
      <c r="HU79" s="42"/>
      <c r="HV79" s="42"/>
      <c r="HW79" s="42"/>
      <c r="HX79" s="42"/>
      <c r="HY79" s="42"/>
      <c r="HZ79" s="42"/>
      <c r="IA79" s="42"/>
      <c r="IB79" s="42"/>
      <c r="IC79" s="42"/>
      <c r="ID79" s="42"/>
      <c r="IE79" s="42"/>
      <c r="IF79" s="42"/>
      <c r="IG79" s="42"/>
      <c r="IH79" s="42"/>
      <c r="II79" s="42"/>
      <c r="IJ79" s="42"/>
      <c r="IK79" s="42"/>
      <c r="IL79" s="42"/>
      <c r="IM79" s="42"/>
      <c r="IN79" s="42"/>
      <c r="IO79" s="42"/>
      <c r="IP79" s="42"/>
      <c r="IQ79" s="42"/>
      <c r="IR79" s="42"/>
      <c r="IS79" s="42"/>
      <c r="IT79" s="42"/>
      <c r="IU79" s="42"/>
    </row>
    <row r="80" spans="1:255" s="42" customFormat="1" ht="15" customHeight="1" outlineLevel="1" x14ac:dyDescent="0.25">
      <c r="A80" s="79"/>
      <c r="B80" s="80"/>
      <c r="C80" s="80"/>
      <c r="D80" s="87"/>
      <c r="E80" s="87"/>
      <c r="F80" s="87"/>
      <c r="G80" s="87"/>
      <c r="H80" s="87"/>
      <c r="J80" s="87"/>
      <c r="K80" s="87"/>
      <c r="O80" s="82"/>
      <c r="P80" s="96"/>
      <c r="Q80" s="96"/>
      <c r="R80" s="84"/>
    </row>
    <row r="81" spans="1:255" s="42" customFormat="1" ht="15" customHeight="1" outlineLevel="1" x14ac:dyDescent="0.25">
      <c r="A81" s="105"/>
      <c r="B81" s="104"/>
      <c r="C81" s="111">
        <f>C72+0.001</f>
        <v>3.0119999999999996</v>
      </c>
      <c r="D81" s="167" t="s">
        <v>37</v>
      </c>
      <c r="E81" s="167"/>
      <c r="F81" s="167"/>
      <c r="G81" s="167"/>
      <c r="H81" s="105">
        <f>ROUND(H83,0)</f>
        <v>42</v>
      </c>
      <c r="I81" s="113" t="s">
        <v>25</v>
      </c>
      <c r="J81" s="114">
        <v>55</v>
      </c>
      <c r="K81" s="114">
        <v>8.8167938931297716</v>
      </c>
      <c r="L81" s="105">
        <f>ROUND(+H81*J81,0)</f>
        <v>2310</v>
      </c>
      <c r="M81" s="105"/>
      <c r="N81" s="105"/>
      <c r="O81" s="115" t="s">
        <v>15</v>
      </c>
      <c r="P81" s="116">
        <f>L81</f>
        <v>2310</v>
      </c>
      <c r="Q81" s="116"/>
      <c r="R81" s="108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5"/>
      <c r="FB81" s="105"/>
      <c r="FC81" s="105"/>
      <c r="FD81" s="105"/>
      <c r="FE81" s="105"/>
      <c r="FF81" s="105"/>
      <c r="FG81" s="105"/>
      <c r="FH81" s="105"/>
      <c r="FI81" s="105"/>
      <c r="FJ81" s="105"/>
      <c r="FK81" s="105"/>
      <c r="FL81" s="105"/>
      <c r="FM81" s="105"/>
      <c r="FN81" s="105"/>
      <c r="FO81" s="105"/>
      <c r="FP81" s="105"/>
      <c r="FQ81" s="105"/>
      <c r="FR81" s="105"/>
      <c r="FS81" s="105"/>
      <c r="FT81" s="105"/>
      <c r="FU81" s="105"/>
      <c r="FV81" s="105"/>
      <c r="FW81" s="105"/>
      <c r="FX81" s="105"/>
      <c r="FY81" s="105"/>
      <c r="FZ81" s="105"/>
      <c r="GA81" s="105"/>
      <c r="GB81" s="105"/>
      <c r="GC81" s="105"/>
      <c r="GD81" s="105"/>
      <c r="GE81" s="105"/>
      <c r="GF81" s="105"/>
      <c r="GG81" s="105"/>
      <c r="GH81" s="105"/>
      <c r="GI81" s="105"/>
      <c r="GJ81" s="105"/>
      <c r="GK81" s="105"/>
      <c r="GL81" s="105"/>
      <c r="GM81" s="105"/>
      <c r="GN81" s="105"/>
      <c r="GO81" s="105"/>
      <c r="GP81" s="105"/>
      <c r="GQ81" s="105"/>
      <c r="GR81" s="105"/>
      <c r="GS81" s="105"/>
      <c r="GT81" s="105"/>
      <c r="GU81" s="105"/>
      <c r="GV81" s="105"/>
      <c r="GW81" s="105"/>
      <c r="GX81" s="105"/>
      <c r="GY81" s="105"/>
      <c r="GZ81" s="105"/>
      <c r="HA81" s="105"/>
      <c r="HB81" s="105"/>
      <c r="HC81" s="105"/>
      <c r="HD81" s="105"/>
      <c r="HE81" s="105"/>
      <c r="HF81" s="105"/>
      <c r="HG81" s="105"/>
      <c r="HH81" s="105"/>
      <c r="HI81" s="105"/>
      <c r="HJ81" s="105"/>
      <c r="HK81" s="105"/>
      <c r="HL81" s="105"/>
      <c r="HM81" s="105"/>
      <c r="HN81" s="105"/>
      <c r="HO81" s="105"/>
      <c r="HP81" s="105"/>
      <c r="HQ81" s="105"/>
      <c r="HR81" s="105"/>
      <c r="HS81" s="105"/>
      <c r="HT81" s="105"/>
      <c r="HU81" s="105"/>
      <c r="HV81" s="105"/>
      <c r="HW81" s="105"/>
      <c r="HX81" s="105"/>
      <c r="HY81" s="105"/>
      <c r="HZ81" s="105"/>
      <c r="IA81" s="105"/>
      <c r="IB81" s="105"/>
      <c r="IC81" s="105"/>
      <c r="ID81" s="105"/>
      <c r="IE81" s="105"/>
      <c r="IF81" s="105"/>
      <c r="IG81" s="105"/>
      <c r="IH81" s="105"/>
      <c r="II81" s="105"/>
      <c r="IJ81" s="105"/>
      <c r="IK81" s="105"/>
      <c r="IL81" s="105"/>
      <c r="IM81" s="105"/>
      <c r="IN81" s="105"/>
      <c r="IO81" s="105"/>
      <c r="IP81" s="105"/>
      <c r="IQ81" s="105"/>
      <c r="IR81" s="105"/>
      <c r="IS81" s="105"/>
      <c r="IT81" s="105"/>
      <c r="IU81" s="105"/>
    </row>
    <row r="82" spans="1:255" s="42" customFormat="1" ht="15" customHeight="1" outlineLevel="1" x14ac:dyDescent="0.25">
      <c r="A82" s="79"/>
      <c r="B82" s="80"/>
      <c r="C82" s="110"/>
      <c r="D82" s="109"/>
      <c r="E82" s="109"/>
      <c r="F82" s="109"/>
      <c r="G82" s="109"/>
      <c r="H82" s="101"/>
      <c r="J82" s="87"/>
      <c r="K82" s="87"/>
      <c r="O82" s="82"/>
      <c r="P82" s="96"/>
      <c r="Q82" s="96"/>
      <c r="R82" s="84"/>
    </row>
    <row r="83" spans="1:255" s="42" customFormat="1" ht="15" customHeight="1" outlineLevel="2" x14ac:dyDescent="0.25">
      <c r="A83" s="79"/>
      <c r="B83" s="80"/>
      <c r="C83" s="80"/>
      <c r="D83" s="109"/>
      <c r="E83" s="109"/>
      <c r="F83" s="109"/>
      <c r="G83" s="109"/>
      <c r="H83" s="101">
        <f>SUM(H85:H88)</f>
        <v>42.08</v>
      </c>
      <c r="J83" s="87"/>
      <c r="K83" s="87"/>
      <c r="O83" s="82"/>
      <c r="P83" s="96"/>
      <c r="Q83" s="96"/>
      <c r="R83" s="84"/>
    </row>
    <row r="84" spans="1:255" s="42" customFormat="1" ht="15" customHeight="1" outlineLevel="2" x14ac:dyDescent="0.25">
      <c r="A84" s="79"/>
      <c r="B84" s="80"/>
      <c r="C84" s="80"/>
      <c r="D84" s="109"/>
      <c r="E84" s="109"/>
      <c r="F84" s="109"/>
      <c r="G84" s="109"/>
      <c r="H84" s="101"/>
      <c r="J84" s="87"/>
      <c r="K84" s="87"/>
      <c r="O84" s="82"/>
      <c r="P84" s="96"/>
      <c r="Q84" s="96"/>
      <c r="R84" s="84"/>
    </row>
    <row r="85" spans="1:255" s="42" customFormat="1" ht="15" customHeight="1" outlineLevel="2" x14ac:dyDescent="0.25">
      <c r="A85" s="79"/>
      <c r="B85" s="80"/>
      <c r="C85" s="80"/>
      <c r="D85" s="101">
        <v>1</v>
      </c>
      <c r="E85" s="101">
        <f>E66+0.3</f>
        <v>6.3199999999999994</v>
      </c>
      <c r="F85" s="101">
        <v>1</v>
      </c>
      <c r="G85" s="101">
        <v>2</v>
      </c>
      <c r="H85" s="101">
        <f>D85*E85*F85*G85</f>
        <v>12.639999999999999</v>
      </c>
      <c r="J85" s="87"/>
      <c r="K85" s="87"/>
      <c r="O85" s="82"/>
      <c r="P85" s="96"/>
      <c r="Q85" s="96"/>
      <c r="R85" s="84"/>
    </row>
    <row r="86" spans="1:255" s="42" customFormat="1" ht="15" customHeight="1" outlineLevel="2" x14ac:dyDescent="0.25">
      <c r="A86" s="79"/>
      <c r="B86" s="80"/>
      <c r="C86" s="80"/>
      <c r="D86" s="101">
        <v>1</v>
      </c>
      <c r="E86" s="101">
        <f>E67+0.3</f>
        <v>6.62</v>
      </c>
      <c r="F86" s="101">
        <v>1</v>
      </c>
      <c r="G86" s="101">
        <v>2</v>
      </c>
      <c r="H86" s="101">
        <f>D86*E86*F86*G86</f>
        <v>13.24</v>
      </c>
      <c r="J86" s="87"/>
      <c r="K86" s="87"/>
      <c r="O86" s="82"/>
      <c r="P86" s="96"/>
      <c r="Q86" s="96"/>
      <c r="R86" s="84"/>
    </row>
    <row r="87" spans="1:255" s="42" customFormat="1" ht="15" customHeight="1" outlineLevel="2" x14ac:dyDescent="0.25">
      <c r="A87" s="79"/>
      <c r="B87" s="80"/>
      <c r="C87" s="80"/>
      <c r="D87" s="101">
        <v>1</v>
      </c>
      <c r="E87" s="101">
        <f>E68+0.3</f>
        <v>4.18</v>
      </c>
      <c r="F87" s="101">
        <v>1</v>
      </c>
      <c r="G87" s="101">
        <v>2</v>
      </c>
      <c r="H87" s="101">
        <f>D87*E87*F87*G87</f>
        <v>8.36</v>
      </c>
      <c r="J87" s="87"/>
      <c r="K87" s="87"/>
      <c r="O87" s="82"/>
      <c r="P87" s="96"/>
      <c r="Q87" s="96"/>
      <c r="R87" s="84"/>
    </row>
    <row r="88" spans="1:255" s="42" customFormat="1" ht="15" customHeight="1" outlineLevel="2" x14ac:dyDescent="0.25">
      <c r="A88" s="79"/>
      <c r="B88" s="80"/>
      <c r="C88" s="80"/>
      <c r="D88" s="101">
        <v>1</v>
      </c>
      <c r="E88" s="101">
        <f>E69+0.3</f>
        <v>3.92</v>
      </c>
      <c r="F88" s="101">
        <v>1</v>
      </c>
      <c r="G88" s="101">
        <v>2</v>
      </c>
      <c r="H88" s="101">
        <f>D88*E88*F88*G88</f>
        <v>7.84</v>
      </c>
      <c r="J88" s="87"/>
      <c r="K88" s="87"/>
      <c r="O88" s="82"/>
      <c r="P88" s="96"/>
      <c r="Q88" s="96"/>
      <c r="R88" s="84"/>
    </row>
    <row r="89" spans="1:255" s="42" customFormat="1" ht="15" customHeight="1" outlineLevel="2" x14ac:dyDescent="0.25">
      <c r="A89" s="79"/>
      <c r="B89" s="80"/>
      <c r="C89" s="80"/>
      <c r="D89" s="101"/>
      <c r="E89" s="101"/>
      <c r="F89" s="101">
        <v>1</v>
      </c>
      <c r="G89" s="101">
        <v>2</v>
      </c>
      <c r="H89" s="101">
        <f>D89*E89*F89*G89</f>
        <v>0</v>
      </c>
      <c r="J89" s="87"/>
      <c r="K89" s="87"/>
      <c r="O89" s="82"/>
      <c r="P89" s="96"/>
      <c r="Q89" s="96"/>
      <c r="R89" s="84"/>
    </row>
    <row r="90" spans="1:255" s="42" customFormat="1" ht="15" customHeight="1" outlineLevel="2" x14ac:dyDescent="0.25">
      <c r="A90" s="79"/>
      <c r="B90" s="80"/>
      <c r="C90" s="80"/>
      <c r="D90" s="101"/>
      <c r="E90" s="101"/>
      <c r="F90" s="101"/>
      <c r="G90" s="101"/>
      <c r="H90" s="101"/>
      <c r="J90" s="87"/>
      <c r="K90" s="87"/>
      <c r="O90" s="82"/>
      <c r="P90" s="96"/>
      <c r="Q90" s="96"/>
      <c r="R90" s="84"/>
    </row>
    <row r="91" spans="1:255" s="42" customFormat="1" ht="15" customHeight="1" outlineLevel="1" x14ac:dyDescent="0.25">
      <c r="A91" s="105"/>
      <c r="B91" s="104"/>
      <c r="C91" s="111">
        <f>C81+0.001</f>
        <v>3.0129999999999995</v>
      </c>
      <c r="D91" s="167" t="s">
        <v>38</v>
      </c>
      <c r="E91" s="167"/>
      <c r="F91" s="167"/>
      <c r="G91" s="167"/>
      <c r="H91" s="112">
        <v>0</v>
      </c>
      <c r="I91" s="113" t="s">
        <v>19</v>
      </c>
      <c r="J91" s="105">
        <f>SUM(L61:L90)</f>
        <v>13842</v>
      </c>
      <c r="K91" s="114">
        <v>0</v>
      </c>
      <c r="L91" s="105">
        <f>ROUND(+H91*J91,0)</f>
        <v>0</v>
      </c>
      <c r="M91" s="105"/>
      <c r="N91" s="105"/>
      <c r="O91" s="115" t="s">
        <v>15</v>
      </c>
      <c r="P91" s="116">
        <f>L91</f>
        <v>0</v>
      </c>
      <c r="Q91" s="116"/>
      <c r="R91" s="108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105"/>
      <c r="EX91" s="105"/>
      <c r="EY91" s="105"/>
      <c r="EZ91" s="105"/>
      <c r="FA91" s="105"/>
      <c r="FB91" s="105"/>
      <c r="FC91" s="105"/>
      <c r="FD91" s="105"/>
      <c r="FE91" s="105"/>
      <c r="FF91" s="105"/>
      <c r="FG91" s="105"/>
      <c r="FH91" s="105"/>
      <c r="FI91" s="105"/>
      <c r="FJ91" s="105"/>
      <c r="FK91" s="105"/>
      <c r="FL91" s="105"/>
      <c r="FM91" s="105"/>
      <c r="FN91" s="105"/>
      <c r="FO91" s="105"/>
      <c r="FP91" s="105"/>
      <c r="FQ91" s="105"/>
      <c r="FR91" s="105"/>
      <c r="FS91" s="105"/>
      <c r="FT91" s="105"/>
      <c r="FU91" s="105"/>
      <c r="FV91" s="105"/>
      <c r="FW91" s="105"/>
      <c r="FX91" s="105"/>
      <c r="FY91" s="105"/>
      <c r="FZ91" s="105"/>
      <c r="GA91" s="105"/>
      <c r="GB91" s="105"/>
      <c r="GC91" s="105"/>
      <c r="GD91" s="105"/>
      <c r="GE91" s="105"/>
      <c r="GF91" s="105"/>
      <c r="GG91" s="105"/>
      <c r="GH91" s="105"/>
      <c r="GI91" s="105"/>
      <c r="GJ91" s="105"/>
      <c r="GK91" s="105"/>
      <c r="GL91" s="105"/>
      <c r="GM91" s="105"/>
      <c r="GN91" s="105"/>
      <c r="GO91" s="105"/>
      <c r="GP91" s="105"/>
      <c r="GQ91" s="105"/>
      <c r="GR91" s="105"/>
      <c r="GS91" s="105"/>
      <c r="GT91" s="105"/>
      <c r="GU91" s="105"/>
      <c r="GV91" s="105"/>
      <c r="GW91" s="105"/>
      <c r="GX91" s="105"/>
      <c r="GY91" s="105"/>
      <c r="GZ91" s="105"/>
      <c r="HA91" s="105"/>
      <c r="HB91" s="105"/>
      <c r="HC91" s="105"/>
      <c r="HD91" s="105"/>
      <c r="HE91" s="105"/>
      <c r="HF91" s="105"/>
      <c r="HG91" s="105"/>
      <c r="HH91" s="105"/>
      <c r="HI91" s="105"/>
      <c r="HJ91" s="105"/>
      <c r="HK91" s="105"/>
      <c r="HL91" s="105"/>
      <c r="HM91" s="105"/>
      <c r="HN91" s="105"/>
      <c r="HO91" s="105"/>
      <c r="HP91" s="105"/>
      <c r="HQ91" s="105"/>
      <c r="HR91" s="105"/>
      <c r="HS91" s="105"/>
      <c r="HT91" s="105"/>
      <c r="HU91" s="105"/>
      <c r="HV91" s="105"/>
      <c r="HW91" s="105"/>
      <c r="HX91" s="105"/>
      <c r="HY91" s="105"/>
      <c r="HZ91" s="105"/>
      <c r="IA91" s="105"/>
      <c r="IB91" s="105"/>
      <c r="IC91" s="105"/>
      <c r="ID91" s="105"/>
      <c r="IE91" s="105"/>
      <c r="IF91" s="105"/>
      <c r="IG91" s="105"/>
      <c r="IH91" s="105"/>
      <c r="II91" s="105"/>
      <c r="IJ91" s="105"/>
      <c r="IK91" s="105"/>
      <c r="IL91" s="105"/>
      <c r="IM91" s="105"/>
      <c r="IN91" s="105"/>
      <c r="IO91" s="105"/>
      <c r="IP91" s="105"/>
      <c r="IQ91" s="105"/>
      <c r="IR91" s="105"/>
      <c r="IS91" s="105"/>
      <c r="IT91" s="105"/>
      <c r="IU91" s="105"/>
    </row>
    <row r="92" spans="1:255" s="42" customFormat="1" ht="15" customHeight="1" outlineLevel="1" x14ac:dyDescent="0.25">
      <c r="A92" s="79"/>
      <c r="B92" s="80"/>
      <c r="C92" s="80"/>
      <c r="D92" s="87"/>
      <c r="E92" s="87"/>
      <c r="F92" s="87"/>
      <c r="G92" s="87"/>
      <c r="H92" s="87"/>
      <c r="J92" s="87"/>
      <c r="K92" s="87"/>
      <c r="O92" s="82"/>
      <c r="P92" s="96"/>
      <c r="Q92" s="96"/>
      <c r="R92" s="84"/>
    </row>
    <row r="93" spans="1:255" s="105" customFormat="1" ht="15" customHeight="1" outlineLevel="2" x14ac:dyDescent="0.25">
      <c r="B93" s="104"/>
      <c r="C93" s="104"/>
      <c r="D93" s="101"/>
      <c r="E93" s="101"/>
      <c r="F93" s="101"/>
      <c r="G93" s="101"/>
      <c r="H93" s="101"/>
      <c r="J93" s="117"/>
      <c r="K93" s="117"/>
      <c r="O93" s="115"/>
      <c r="P93" s="118"/>
      <c r="Q93" s="118"/>
      <c r="R93" s="108"/>
    </row>
    <row r="94" spans="1:255" s="42" customFormat="1" ht="15" customHeight="1" x14ac:dyDescent="0.25">
      <c r="A94" s="79"/>
      <c r="B94" s="80" t="s">
        <v>19</v>
      </c>
      <c r="C94" s="80">
        <f>C61+0.01</f>
        <v>3.0199999999999996</v>
      </c>
      <c r="D94" s="162" t="s">
        <v>39</v>
      </c>
      <c r="E94" s="162"/>
      <c r="F94" s="162"/>
      <c r="G94" s="162"/>
      <c r="H94" s="42">
        <f>ROUND(H97,0)</f>
        <v>228</v>
      </c>
      <c r="I94" s="99" t="s">
        <v>8</v>
      </c>
      <c r="J94" s="87">
        <f>75*1.15</f>
        <v>86.25</v>
      </c>
      <c r="K94" s="87">
        <v>75.05725190839695</v>
      </c>
      <c r="M94" s="42">
        <f>H94*J94</f>
        <v>19665</v>
      </c>
      <c r="O94" s="82"/>
      <c r="P94" s="96"/>
      <c r="Q94" s="96"/>
      <c r="R94" s="84"/>
    </row>
    <row r="95" spans="1:255" s="42" customFormat="1" ht="15" customHeight="1" x14ac:dyDescent="0.25">
      <c r="A95" s="79"/>
      <c r="B95" s="80"/>
      <c r="C95" s="80"/>
      <c r="D95" s="101"/>
      <c r="E95" s="101"/>
      <c r="F95" s="101"/>
      <c r="G95" s="101"/>
      <c r="H95" s="101"/>
      <c r="J95" s="87"/>
      <c r="K95" s="87"/>
      <c r="O95" s="82"/>
      <c r="P95" s="96"/>
      <c r="Q95" s="96"/>
      <c r="R95" s="84"/>
    </row>
    <row r="96" spans="1:255" s="42" customFormat="1" ht="15" customHeight="1" outlineLevel="2" x14ac:dyDescent="0.25">
      <c r="A96" s="79"/>
      <c r="B96" s="80"/>
      <c r="C96" s="104"/>
      <c r="D96" s="119">
        <v>3</v>
      </c>
      <c r="E96" s="105" t="s">
        <v>32</v>
      </c>
      <c r="F96" s="101"/>
      <c r="G96" s="105"/>
      <c r="H96" s="105"/>
      <c r="I96" s="105"/>
      <c r="J96" s="105"/>
      <c r="K96" s="105"/>
      <c r="L96" s="105"/>
      <c r="M96" s="105"/>
      <c r="N96" s="105"/>
      <c r="O96" s="106"/>
      <c r="P96" s="107"/>
      <c r="Q96" s="107"/>
      <c r="R96" s="108"/>
    </row>
    <row r="97" spans="1:255" s="42" customFormat="1" ht="15" customHeight="1" outlineLevel="2" x14ac:dyDescent="0.25">
      <c r="A97" s="79"/>
      <c r="B97" s="80"/>
      <c r="C97" s="80"/>
      <c r="D97" s="101"/>
      <c r="E97" s="101"/>
      <c r="F97" s="101"/>
      <c r="G97" s="101"/>
      <c r="H97" s="101">
        <f>SUM(H99:H103)</f>
        <v>227.88</v>
      </c>
      <c r="K97" s="87"/>
      <c r="O97" s="82"/>
      <c r="P97" s="96"/>
      <c r="Q97" s="96"/>
      <c r="R97" s="84"/>
    </row>
    <row r="98" spans="1:255" s="105" customFormat="1" ht="15" customHeight="1" outlineLevel="2" x14ac:dyDescent="0.25">
      <c r="A98" s="79"/>
      <c r="B98" s="80"/>
      <c r="C98" s="80"/>
      <c r="D98" s="101"/>
      <c r="E98" s="101"/>
      <c r="F98" s="101"/>
      <c r="G98" s="101"/>
      <c r="H98" s="101"/>
      <c r="I98" s="42"/>
      <c r="J98" s="42"/>
      <c r="K98" s="87"/>
      <c r="L98" s="42"/>
      <c r="M98" s="42"/>
      <c r="N98" s="42"/>
      <c r="O98" s="82"/>
      <c r="P98" s="96"/>
      <c r="Q98" s="96"/>
      <c r="R98" s="84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  <c r="FK98" s="42"/>
      <c r="FL98" s="42"/>
      <c r="FM98" s="42"/>
      <c r="FN98" s="42"/>
      <c r="FO98" s="42"/>
      <c r="FP98" s="42"/>
      <c r="FQ98" s="42"/>
      <c r="FR98" s="42"/>
      <c r="FS98" s="42"/>
      <c r="FT98" s="42"/>
      <c r="FU98" s="42"/>
      <c r="FV98" s="42"/>
      <c r="FW98" s="42"/>
      <c r="FX98" s="42"/>
      <c r="FY98" s="42"/>
      <c r="FZ98" s="42"/>
      <c r="GA98" s="42"/>
      <c r="GB98" s="42"/>
      <c r="GC98" s="42"/>
      <c r="GD98" s="42"/>
      <c r="GE98" s="42"/>
      <c r="GF98" s="42"/>
      <c r="GG98" s="42"/>
      <c r="GH98" s="42"/>
      <c r="GI98" s="42"/>
      <c r="GJ98" s="42"/>
      <c r="GK98" s="42"/>
      <c r="GL98" s="42"/>
      <c r="GM98" s="42"/>
      <c r="GN98" s="42"/>
      <c r="GO98" s="42"/>
      <c r="GP98" s="42"/>
      <c r="GQ98" s="42"/>
      <c r="GR98" s="42"/>
      <c r="GS98" s="42"/>
      <c r="GT98" s="42"/>
      <c r="GU98" s="42"/>
      <c r="GV98" s="42"/>
      <c r="GW98" s="42"/>
      <c r="GX98" s="42"/>
      <c r="GY98" s="42"/>
      <c r="GZ98" s="42"/>
      <c r="HA98" s="42"/>
      <c r="HB98" s="42"/>
      <c r="HC98" s="42"/>
      <c r="HD98" s="42"/>
      <c r="HE98" s="42"/>
      <c r="HF98" s="42"/>
      <c r="HG98" s="42"/>
      <c r="HH98" s="42"/>
      <c r="HI98" s="42"/>
      <c r="HJ98" s="42"/>
      <c r="HK98" s="42"/>
      <c r="HL98" s="42"/>
      <c r="HM98" s="42"/>
      <c r="HN98" s="42"/>
      <c r="HO98" s="42"/>
      <c r="HP98" s="42"/>
      <c r="HQ98" s="42"/>
      <c r="HR98" s="42"/>
      <c r="HS98" s="42"/>
      <c r="HT98" s="42"/>
      <c r="HU98" s="42"/>
      <c r="HV98" s="42"/>
      <c r="HW98" s="42"/>
      <c r="HX98" s="42"/>
      <c r="HY98" s="42"/>
      <c r="HZ98" s="42"/>
      <c r="IA98" s="42"/>
      <c r="IB98" s="42"/>
      <c r="IC98" s="42"/>
      <c r="ID98" s="42"/>
      <c r="IE98" s="42"/>
      <c r="IF98" s="42"/>
      <c r="IG98" s="42"/>
      <c r="IH98" s="42"/>
      <c r="II98" s="42"/>
      <c r="IJ98" s="42"/>
      <c r="IK98" s="42"/>
      <c r="IL98" s="42"/>
      <c r="IM98" s="42"/>
      <c r="IN98" s="42"/>
      <c r="IO98" s="42"/>
      <c r="IP98" s="42"/>
      <c r="IQ98" s="42"/>
      <c r="IR98" s="42"/>
      <c r="IS98" s="42"/>
      <c r="IT98" s="42"/>
      <c r="IU98" s="42"/>
    </row>
    <row r="99" spans="1:255" s="42" customFormat="1" ht="15" customHeight="1" outlineLevel="2" x14ac:dyDescent="0.25">
      <c r="A99" s="79"/>
      <c r="B99" s="80"/>
      <c r="C99" s="80"/>
      <c r="D99" s="101">
        <v>1</v>
      </c>
      <c r="E99" s="125">
        <v>75.959999999999994</v>
      </c>
      <c r="F99" s="101">
        <f>D96</f>
        <v>3</v>
      </c>
      <c r="G99" s="101">
        <v>1</v>
      </c>
      <c r="H99" s="101">
        <f>D99*E99*F99*G99</f>
        <v>227.88</v>
      </c>
      <c r="I99" s="44"/>
      <c r="K99" s="87"/>
      <c r="O99" s="82"/>
      <c r="P99" s="96"/>
      <c r="Q99" s="96"/>
      <c r="R99" s="84"/>
    </row>
    <row r="100" spans="1:255" s="42" customFormat="1" ht="15" customHeight="1" outlineLevel="2" x14ac:dyDescent="0.25">
      <c r="A100" s="79"/>
      <c r="B100" s="80"/>
      <c r="C100" s="80"/>
      <c r="D100" s="101"/>
      <c r="E100" s="101">
        <v>1</v>
      </c>
      <c r="F100" s="101">
        <v>0</v>
      </c>
      <c r="G100" s="101">
        <v>1</v>
      </c>
      <c r="H100" s="101">
        <f t="shared" ref="H100:H103" si="2">D100*E100*F100*G100</f>
        <v>0</v>
      </c>
      <c r="I100" s="44"/>
      <c r="K100" s="87"/>
      <c r="O100" s="82"/>
      <c r="P100" s="96"/>
      <c r="Q100" s="96"/>
      <c r="R100" s="84"/>
    </row>
    <row r="101" spans="1:255" s="42" customFormat="1" ht="15" customHeight="1" outlineLevel="2" x14ac:dyDescent="0.25">
      <c r="A101" s="79"/>
      <c r="B101" s="80"/>
      <c r="C101" s="80"/>
      <c r="D101" s="101"/>
      <c r="E101" s="101">
        <v>1</v>
      </c>
      <c r="F101" s="101">
        <v>0</v>
      </c>
      <c r="G101" s="101">
        <v>1</v>
      </c>
      <c r="H101" s="101">
        <f t="shared" si="2"/>
        <v>0</v>
      </c>
      <c r="I101" s="44"/>
      <c r="K101" s="87"/>
      <c r="O101" s="82"/>
      <c r="P101" s="96"/>
      <c r="Q101" s="96"/>
      <c r="R101" s="84"/>
    </row>
    <row r="102" spans="1:255" s="42" customFormat="1" ht="15" customHeight="1" outlineLevel="2" x14ac:dyDescent="0.25">
      <c r="A102" s="79"/>
      <c r="B102" s="80"/>
      <c r="C102" s="80"/>
      <c r="D102" s="101"/>
      <c r="E102" s="101">
        <v>1</v>
      </c>
      <c r="F102" s="101">
        <v>0</v>
      </c>
      <c r="G102" s="101">
        <v>1</v>
      </c>
      <c r="H102" s="101">
        <f t="shared" si="2"/>
        <v>0</v>
      </c>
      <c r="I102" s="44"/>
      <c r="K102" s="87"/>
      <c r="O102" s="82"/>
      <c r="P102" s="96"/>
      <c r="Q102" s="96"/>
      <c r="R102" s="84"/>
    </row>
    <row r="103" spans="1:255" s="42" customFormat="1" ht="15" customHeight="1" outlineLevel="2" x14ac:dyDescent="0.25">
      <c r="A103" s="79"/>
      <c r="B103" s="80"/>
      <c r="C103" s="80"/>
      <c r="D103" s="101"/>
      <c r="E103" s="101">
        <v>1</v>
      </c>
      <c r="F103" s="101">
        <v>0</v>
      </c>
      <c r="G103" s="101">
        <v>1</v>
      </c>
      <c r="H103" s="101">
        <f t="shared" si="2"/>
        <v>0</v>
      </c>
      <c r="I103" s="44"/>
      <c r="K103" s="87"/>
      <c r="O103" s="82"/>
      <c r="P103" s="96"/>
      <c r="Q103" s="96"/>
      <c r="R103" s="84"/>
    </row>
    <row r="104" spans="1:255" s="105" customFormat="1" ht="15" customHeight="1" outlineLevel="2" x14ac:dyDescent="0.25">
      <c r="A104" s="79"/>
      <c r="B104" s="80"/>
      <c r="C104" s="80"/>
      <c r="D104" s="101"/>
      <c r="E104" s="101"/>
      <c r="F104" s="101"/>
      <c r="G104" s="101"/>
      <c r="H104" s="101"/>
      <c r="I104" s="44"/>
      <c r="J104" s="87"/>
      <c r="K104" s="87"/>
      <c r="L104" s="42"/>
      <c r="M104" s="42"/>
      <c r="N104" s="42"/>
      <c r="O104" s="82"/>
      <c r="P104" s="96"/>
      <c r="Q104" s="96"/>
      <c r="R104" s="84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  <c r="CR104" s="42"/>
      <c r="CS104" s="42"/>
      <c r="CT104" s="42"/>
      <c r="CU104" s="42"/>
      <c r="CV104" s="42"/>
      <c r="CW104" s="42"/>
      <c r="CX104" s="42"/>
      <c r="CY104" s="42"/>
      <c r="CZ104" s="42"/>
      <c r="DA104" s="42"/>
      <c r="DB104" s="42"/>
      <c r="DC104" s="42"/>
      <c r="DD104" s="42"/>
      <c r="DE104" s="42"/>
      <c r="DF104" s="42"/>
      <c r="DG104" s="42"/>
      <c r="DH104" s="42"/>
      <c r="DI104" s="42"/>
      <c r="DJ104" s="42"/>
      <c r="DK104" s="42"/>
      <c r="DL104" s="42"/>
      <c r="DM104" s="42"/>
      <c r="DN104" s="42"/>
      <c r="DO104" s="42"/>
      <c r="DP104" s="42"/>
      <c r="DQ104" s="42"/>
      <c r="DR104" s="42"/>
      <c r="DS104" s="42"/>
      <c r="DT104" s="42"/>
      <c r="DU104" s="42"/>
      <c r="DV104" s="42"/>
      <c r="DW104" s="42"/>
      <c r="DX104" s="42"/>
      <c r="DY104" s="42"/>
      <c r="DZ104" s="42"/>
      <c r="EA104" s="42"/>
      <c r="EB104" s="42"/>
      <c r="EC104" s="42"/>
      <c r="ED104" s="42"/>
      <c r="EE104" s="42"/>
      <c r="EF104" s="42"/>
      <c r="EG104" s="42"/>
      <c r="EH104" s="42"/>
      <c r="EI104" s="42"/>
      <c r="EJ104" s="42"/>
      <c r="EK104" s="42"/>
      <c r="EL104" s="42"/>
      <c r="EM104" s="42"/>
      <c r="EN104" s="42"/>
      <c r="EO104" s="42"/>
      <c r="EP104" s="42"/>
      <c r="EQ104" s="42"/>
      <c r="ER104" s="42"/>
      <c r="ES104" s="42"/>
      <c r="ET104" s="42"/>
      <c r="EU104" s="42"/>
      <c r="EV104" s="42"/>
      <c r="EW104" s="42"/>
      <c r="EX104" s="42"/>
      <c r="EY104" s="42"/>
      <c r="EZ104" s="42"/>
      <c r="FA104" s="42"/>
      <c r="FB104" s="42"/>
      <c r="FC104" s="42"/>
      <c r="FD104" s="42"/>
      <c r="FE104" s="42"/>
      <c r="FF104" s="42"/>
      <c r="FG104" s="42"/>
      <c r="FH104" s="42"/>
      <c r="FI104" s="42"/>
      <c r="FJ104" s="42"/>
      <c r="FK104" s="42"/>
      <c r="FL104" s="42"/>
      <c r="FM104" s="42"/>
      <c r="FN104" s="42"/>
      <c r="FO104" s="42"/>
      <c r="FP104" s="42"/>
      <c r="FQ104" s="42"/>
      <c r="FR104" s="42"/>
      <c r="FS104" s="42"/>
      <c r="FT104" s="42"/>
      <c r="FU104" s="42"/>
      <c r="FV104" s="42"/>
      <c r="FW104" s="42"/>
      <c r="FX104" s="42"/>
      <c r="FY104" s="42"/>
      <c r="FZ104" s="42"/>
      <c r="GA104" s="42"/>
      <c r="GB104" s="42"/>
      <c r="GC104" s="42"/>
      <c r="GD104" s="42"/>
      <c r="GE104" s="42"/>
      <c r="GF104" s="42"/>
      <c r="GG104" s="42"/>
      <c r="GH104" s="42"/>
      <c r="GI104" s="42"/>
      <c r="GJ104" s="42"/>
      <c r="GK104" s="42"/>
      <c r="GL104" s="42"/>
      <c r="GM104" s="42"/>
      <c r="GN104" s="42"/>
      <c r="GO104" s="42"/>
      <c r="GP104" s="42"/>
      <c r="GQ104" s="42"/>
      <c r="GR104" s="42"/>
      <c r="GS104" s="42"/>
      <c r="GT104" s="42"/>
      <c r="GU104" s="42"/>
      <c r="GV104" s="42"/>
      <c r="GW104" s="42"/>
      <c r="GX104" s="42"/>
      <c r="GY104" s="42"/>
      <c r="GZ104" s="42"/>
      <c r="HA104" s="42"/>
      <c r="HB104" s="42"/>
      <c r="HC104" s="42"/>
      <c r="HD104" s="42"/>
      <c r="HE104" s="42"/>
      <c r="HF104" s="42"/>
      <c r="HG104" s="42"/>
      <c r="HH104" s="42"/>
      <c r="HI104" s="42"/>
      <c r="HJ104" s="42"/>
      <c r="HK104" s="42"/>
      <c r="HL104" s="42"/>
      <c r="HM104" s="42"/>
      <c r="HN104" s="42"/>
      <c r="HO104" s="42"/>
      <c r="HP104" s="42"/>
      <c r="HQ104" s="42"/>
      <c r="HR104" s="42"/>
      <c r="HS104" s="42"/>
      <c r="HT104" s="42"/>
      <c r="HU104" s="42"/>
      <c r="HV104" s="42"/>
      <c r="HW104" s="42"/>
      <c r="HX104" s="42"/>
      <c r="HY104" s="42"/>
      <c r="HZ104" s="42"/>
      <c r="IA104" s="42"/>
      <c r="IB104" s="42"/>
      <c r="IC104" s="42"/>
      <c r="ID104" s="42"/>
      <c r="IE104" s="42"/>
      <c r="IF104" s="42"/>
      <c r="IG104" s="42"/>
      <c r="IH104" s="42"/>
      <c r="II104" s="42"/>
      <c r="IJ104" s="42"/>
      <c r="IK104" s="42"/>
      <c r="IL104" s="42"/>
      <c r="IM104" s="42"/>
      <c r="IN104" s="42"/>
      <c r="IO104" s="42"/>
      <c r="IP104" s="42"/>
      <c r="IQ104" s="42"/>
      <c r="IR104" s="42"/>
      <c r="IS104" s="42"/>
      <c r="IT104" s="42"/>
      <c r="IU104" s="42"/>
    </row>
    <row r="105" spans="1:255" s="42" customFormat="1" ht="15" customHeight="1" x14ac:dyDescent="0.25">
      <c r="A105" s="79"/>
      <c r="B105" s="80" t="s">
        <v>19</v>
      </c>
      <c r="C105" s="80">
        <f>C94+0.01</f>
        <v>3.0299999999999994</v>
      </c>
      <c r="D105" s="162" t="s">
        <v>40</v>
      </c>
      <c r="E105" s="162"/>
      <c r="F105" s="162"/>
      <c r="G105" s="162"/>
      <c r="H105" s="42">
        <f>ROUND(H108,0)</f>
        <v>6</v>
      </c>
      <c r="I105" s="99" t="s">
        <v>8</v>
      </c>
      <c r="J105" s="87">
        <f>J94</f>
        <v>86.25</v>
      </c>
      <c r="K105" s="87">
        <v>1.9751908396946565</v>
      </c>
      <c r="M105" s="42">
        <f>H105*J105</f>
        <v>517.5</v>
      </c>
      <c r="O105" s="82"/>
      <c r="P105" s="96"/>
      <c r="Q105" s="96"/>
      <c r="R105" s="84"/>
    </row>
    <row r="106" spans="1:255" s="42" customFormat="1" ht="15" customHeight="1" x14ac:dyDescent="0.25">
      <c r="A106" s="79"/>
      <c r="B106" s="80"/>
      <c r="C106" s="80"/>
      <c r="D106" s="101"/>
      <c r="E106" s="101"/>
      <c r="F106" s="101"/>
      <c r="G106" s="101"/>
      <c r="H106" s="101"/>
      <c r="J106" s="87"/>
      <c r="K106" s="87"/>
      <c r="O106" s="82"/>
      <c r="P106" s="96"/>
      <c r="Q106" s="96"/>
      <c r="R106" s="84"/>
    </row>
    <row r="107" spans="1:255" s="42" customFormat="1" ht="15" customHeight="1" outlineLevel="2" x14ac:dyDescent="0.25">
      <c r="A107" s="79"/>
      <c r="B107" s="80"/>
      <c r="C107" s="104"/>
      <c r="D107" s="119">
        <v>2.5</v>
      </c>
      <c r="E107" s="105" t="s">
        <v>32</v>
      </c>
      <c r="F107" s="101"/>
      <c r="G107" s="105"/>
      <c r="H107" s="105"/>
      <c r="I107" s="105"/>
      <c r="J107" s="105"/>
      <c r="K107" s="105"/>
      <c r="L107" s="105"/>
      <c r="M107" s="105"/>
      <c r="N107" s="105"/>
      <c r="O107" s="106"/>
      <c r="P107" s="107"/>
      <c r="Q107" s="107"/>
      <c r="R107" s="108"/>
    </row>
    <row r="108" spans="1:255" s="42" customFormat="1" ht="15" customHeight="1" outlineLevel="2" x14ac:dyDescent="0.25">
      <c r="A108" s="79"/>
      <c r="B108" s="80"/>
      <c r="C108" s="80"/>
      <c r="D108" s="101">
        <v>0.6</v>
      </c>
      <c r="E108" s="101" t="s">
        <v>32</v>
      </c>
      <c r="F108" s="101"/>
      <c r="G108" s="101"/>
      <c r="H108" s="101">
        <f>SUM(H110:H114)</f>
        <v>6.27</v>
      </c>
      <c r="K108" s="87"/>
      <c r="O108" s="82"/>
      <c r="P108" s="96"/>
      <c r="Q108" s="96"/>
      <c r="R108" s="84"/>
    </row>
    <row r="109" spans="1:255" s="105" customFormat="1" ht="15" customHeight="1" outlineLevel="2" x14ac:dyDescent="0.25">
      <c r="A109" s="79"/>
      <c r="B109" s="80"/>
      <c r="C109" s="80"/>
      <c r="D109" s="101"/>
      <c r="E109" s="101"/>
      <c r="F109" s="101"/>
      <c r="G109" s="101"/>
      <c r="H109" s="101"/>
      <c r="I109" s="42"/>
      <c r="J109" s="42"/>
      <c r="K109" s="87"/>
      <c r="L109" s="42"/>
      <c r="M109" s="42"/>
      <c r="N109" s="42"/>
      <c r="O109" s="82"/>
      <c r="P109" s="96"/>
      <c r="Q109" s="96"/>
      <c r="R109" s="84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/>
      <c r="CV109" s="42"/>
      <c r="CW109" s="42"/>
      <c r="CX109" s="42"/>
      <c r="CY109" s="42"/>
      <c r="CZ109" s="42"/>
      <c r="DA109" s="42"/>
      <c r="DB109" s="42"/>
      <c r="DC109" s="42"/>
      <c r="DD109" s="42"/>
      <c r="DE109" s="42"/>
      <c r="DF109" s="42"/>
      <c r="DG109" s="42"/>
      <c r="DH109" s="42"/>
      <c r="DI109" s="42"/>
      <c r="DJ109" s="42"/>
      <c r="DK109" s="42"/>
      <c r="DL109" s="42"/>
      <c r="DM109" s="42"/>
      <c r="DN109" s="42"/>
      <c r="DO109" s="42"/>
      <c r="DP109" s="42"/>
      <c r="DQ109" s="42"/>
      <c r="DR109" s="42"/>
      <c r="DS109" s="42"/>
      <c r="DT109" s="42"/>
      <c r="DU109" s="42"/>
      <c r="DV109" s="42"/>
      <c r="DW109" s="42"/>
      <c r="DX109" s="42"/>
      <c r="DY109" s="42"/>
      <c r="DZ109" s="42"/>
      <c r="EA109" s="42"/>
      <c r="EB109" s="42"/>
      <c r="EC109" s="42"/>
      <c r="ED109" s="42"/>
      <c r="EE109" s="42"/>
      <c r="EF109" s="42"/>
      <c r="EG109" s="42"/>
      <c r="EH109" s="42"/>
      <c r="EI109" s="42"/>
      <c r="EJ109" s="42"/>
      <c r="EK109" s="42"/>
      <c r="EL109" s="42"/>
      <c r="EM109" s="42"/>
      <c r="EN109" s="42"/>
      <c r="EO109" s="42"/>
      <c r="EP109" s="42"/>
      <c r="EQ109" s="42"/>
      <c r="ER109" s="42"/>
      <c r="ES109" s="42"/>
      <c r="ET109" s="42"/>
      <c r="EU109" s="42"/>
      <c r="EV109" s="42"/>
      <c r="EW109" s="42"/>
      <c r="EX109" s="42"/>
      <c r="EY109" s="42"/>
      <c r="EZ109" s="42"/>
      <c r="FA109" s="42"/>
      <c r="FB109" s="42"/>
      <c r="FC109" s="42"/>
      <c r="FD109" s="42"/>
      <c r="FE109" s="42"/>
      <c r="FF109" s="42"/>
      <c r="FG109" s="42"/>
      <c r="FH109" s="42"/>
      <c r="FI109" s="42"/>
      <c r="FJ109" s="42"/>
      <c r="FK109" s="42"/>
      <c r="FL109" s="42"/>
      <c r="FM109" s="42"/>
      <c r="FN109" s="42"/>
      <c r="FO109" s="42"/>
      <c r="FP109" s="42"/>
      <c r="FQ109" s="42"/>
      <c r="FR109" s="42"/>
      <c r="FS109" s="42"/>
      <c r="FT109" s="42"/>
      <c r="FU109" s="42"/>
      <c r="FV109" s="42"/>
      <c r="FW109" s="42"/>
      <c r="FX109" s="42"/>
      <c r="FY109" s="42"/>
      <c r="FZ109" s="42"/>
      <c r="GA109" s="42"/>
      <c r="GB109" s="42"/>
      <c r="GC109" s="42"/>
      <c r="GD109" s="42"/>
      <c r="GE109" s="42"/>
      <c r="GF109" s="42"/>
      <c r="GG109" s="42"/>
      <c r="GH109" s="42"/>
      <c r="GI109" s="42"/>
      <c r="GJ109" s="42"/>
      <c r="GK109" s="42"/>
      <c r="GL109" s="42"/>
      <c r="GM109" s="42"/>
      <c r="GN109" s="42"/>
      <c r="GO109" s="42"/>
      <c r="GP109" s="42"/>
      <c r="GQ109" s="42"/>
      <c r="GR109" s="42"/>
      <c r="GS109" s="42"/>
      <c r="GT109" s="42"/>
      <c r="GU109" s="42"/>
      <c r="GV109" s="42"/>
      <c r="GW109" s="42"/>
      <c r="GX109" s="42"/>
      <c r="GY109" s="42"/>
      <c r="GZ109" s="42"/>
      <c r="HA109" s="42"/>
      <c r="HB109" s="42"/>
      <c r="HC109" s="42"/>
      <c r="HD109" s="42"/>
      <c r="HE109" s="42"/>
      <c r="HF109" s="42"/>
      <c r="HG109" s="42"/>
      <c r="HH109" s="42"/>
      <c r="HI109" s="42"/>
      <c r="HJ109" s="42"/>
      <c r="HK109" s="42"/>
      <c r="HL109" s="42"/>
      <c r="HM109" s="42"/>
      <c r="HN109" s="42"/>
      <c r="HO109" s="42"/>
      <c r="HP109" s="42"/>
      <c r="HQ109" s="42"/>
      <c r="HR109" s="42"/>
      <c r="HS109" s="42"/>
      <c r="HT109" s="42"/>
      <c r="HU109" s="42"/>
      <c r="HV109" s="42"/>
      <c r="HW109" s="42"/>
      <c r="HX109" s="42"/>
      <c r="HY109" s="42"/>
      <c r="HZ109" s="42"/>
      <c r="IA109" s="42"/>
      <c r="IB109" s="42"/>
      <c r="IC109" s="42"/>
      <c r="ID109" s="42"/>
      <c r="IE109" s="42"/>
      <c r="IF109" s="42"/>
      <c r="IG109" s="42"/>
      <c r="IH109" s="42"/>
      <c r="II109" s="42"/>
      <c r="IJ109" s="42"/>
      <c r="IK109" s="42"/>
      <c r="IL109" s="42"/>
      <c r="IM109" s="42"/>
      <c r="IN109" s="42"/>
      <c r="IO109" s="42"/>
      <c r="IP109" s="42"/>
      <c r="IQ109" s="42"/>
      <c r="IR109" s="42"/>
      <c r="IS109" s="42"/>
      <c r="IT109" s="42"/>
      <c r="IU109" s="42"/>
    </row>
    <row r="110" spans="1:255" s="42" customFormat="1" ht="15" customHeight="1" outlineLevel="2" x14ac:dyDescent="0.25">
      <c r="A110" s="79"/>
      <c r="B110" s="80"/>
      <c r="C110" s="80"/>
      <c r="D110" s="101">
        <v>1</v>
      </c>
      <c r="E110" s="101">
        <v>2.2799999999999998</v>
      </c>
      <c r="F110" s="101">
        <f>D107</f>
        <v>2.5</v>
      </c>
      <c r="G110" s="101">
        <v>1</v>
      </c>
      <c r="H110" s="101">
        <f>D110*E110*F110*G110</f>
        <v>5.6999999999999993</v>
      </c>
      <c r="I110" s="44"/>
      <c r="K110" s="87"/>
      <c r="O110" s="82"/>
      <c r="P110" s="96"/>
      <c r="Q110" s="96"/>
      <c r="R110" s="84"/>
    </row>
    <row r="111" spans="1:255" s="42" customFormat="1" ht="15" customHeight="1" outlineLevel="2" x14ac:dyDescent="0.25">
      <c r="A111" s="79"/>
      <c r="B111" s="80"/>
      <c r="C111" s="80"/>
      <c r="D111" s="101">
        <v>1</v>
      </c>
      <c r="E111" s="101">
        <v>0.95</v>
      </c>
      <c r="F111" s="101">
        <f>D108</f>
        <v>0.6</v>
      </c>
      <c r="G111" s="101">
        <v>1</v>
      </c>
      <c r="H111" s="101">
        <f t="shared" ref="H111:H114" si="3">D111*E111*F111*G111</f>
        <v>0.56999999999999995</v>
      </c>
      <c r="I111" s="44"/>
      <c r="K111" s="87"/>
      <c r="O111" s="82"/>
      <c r="P111" s="96"/>
      <c r="Q111" s="96"/>
      <c r="R111" s="84"/>
    </row>
    <row r="112" spans="1:255" s="42" customFormat="1" ht="15" customHeight="1" outlineLevel="2" x14ac:dyDescent="0.25">
      <c r="A112" s="79"/>
      <c r="B112" s="80"/>
      <c r="C112" s="80"/>
      <c r="D112" s="101"/>
      <c r="E112" s="101">
        <v>1</v>
      </c>
      <c r="F112" s="101">
        <v>1</v>
      </c>
      <c r="G112" s="101">
        <v>1</v>
      </c>
      <c r="H112" s="101">
        <f t="shared" si="3"/>
        <v>0</v>
      </c>
      <c r="I112" s="44"/>
      <c r="K112" s="87"/>
      <c r="O112" s="82"/>
      <c r="P112" s="96"/>
      <c r="Q112" s="96"/>
      <c r="R112" s="84"/>
    </row>
    <row r="113" spans="1:255" s="42" customFormat="1" ht="15" customHeight="1" outlineLevel="2" x14ac:dyDescent="0.25">
      <c r="A113" s="79"/>
      <c r="B113" s="80"/>
      <c r="C113" s="80"/>
      <c r="D113" s="101"/>
      <c r="E113" s="101">
        <v>1</v>
      </c>
      <c r="F113" s="101">
        <v>1</v>
      </c>
      <c r="G113" s="101">
        <v>1</v>
      </c>
      <c r="H113" s="101">
        <f t="shared" si="3"/>
        <v>0</v>
      </c>
      <c r="I113" s="44"/>
      <c r="K113" s="87"/>
      <c r="O113" s="82"/>
      <c r="P113" s="96"/>
      <c r="Q113" s="96"/>
      <c r="R113" s="84"/>
    </row>
    <row r="114" spans="1:255" s="42" customFormat="1" ht="15" customHeight="1" outlineLevel="2" x14ac:dyDescent="0.25">
      <c r="A114" s="79"/>
      <c r="B114" s="80"/>
      <c r="C114" s="80"/>
      <c r="D114" s="101"/>
      <c r="E114" s="101">
        <v>1</v>
      </c>
      <c r="F114" s="101">
        <v>1</v>
      </c>
      <c r="G114" s="101">
        <v>1</v>
      </c>
      <c r="H114" s="101">
        <f t="shared" si="3"/>
        <v>0</v>
      </c>
      <c r="I114" s="44"/>
      <c r="K114" s="87"/>
      <c r="O114" s="82"/>
      <c r="P114" s="96"/>
      <c r="Q114" s="96"/>
      <c r="R114" s="84"/>
    </row>
    <row r="115" spans="1:255" s="105" customFormat="1" ht="15" customHeight="1" outlineLevel="2" x14ac:dyDescent="0.25">
      <c r="A115" s="79"/>
      <c r="B115" s="80"/>
      <c r="C115" s="80"/>
      <c r="D115" s="101"/>
      <c r="E115" s="101"/>
      <c r="F115" s="101"/>
      <c r="G115" s="101"/>
      <c r="H115" s="101"/>
      <c r="I115" s="44"/>
      <c r="J115" s="87"/>
      <c r="K115" s="87"/>
      <c r="L115" s="42"/>
      <c r="M115" s="42"/>
      <c r="N115" s="42"/>
      <c r="O115" s="82"/>
      <c r="P115" s="96"/>
      <c r="Q115" s="96"/>
      <c r="R115" s="84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42"/>
      <c r="DC115" s="42"/>
      <c r="DD115" s="42"/>
      <c r="DE115" s="42"/>
      <c r="DF115" s="42"/>
      <c r="DG115" s="42"/>
      <c r="DH115" s="42"/>
      <c r="DI115" s="42"/>
      <c r="DJ115" s="42"/>
      <c r="DK115" s="42"/>
      <c r="DL115" s="42"/>
      <c r="DM115" s="42"/>
      <c r="DN115" s="42"/>
      <c r="DO115" s="42"/>
      <c r="DP115" s="42"/>
      <c r="DQ115" s="42"/>
      <c r="DR115" s="42"/>
      <c r="DS115" s="42"/>
      <c r="DT115" s="42"/>
      <c r="DU115" s="42"/>
      <c r="DV115" s="42"/>
      <c r="DW115" s="42"/>
      <c r="DX115" s="42"/>
      <c r="DY115" s="42"/>
      <c r="DZ115" s="42"/>
      <c r="EA115" s="42"/>
      <c r="EB115" s="42"/>
      <c r="EC115" s="42"/>
      <c r="ED115" s="42"/>
      <c r="EE115" s="42"/>
      <c r="EF115" s="42"/>
      <c r="EG115" s="42"/>
      <c r="EH115" s="42"/>
      <c r="EI115" s="42"/>
      <c r="EJ115" s="42"/>
      <c r="EK115" s="42"/>
      <c r="EL115" s="42"/>
      <c r="EM115" s="42"/>
      <c r="EN115" s="42"/>
      <c r="EO115" s="42"/>
      <c r="EP115" s="42"/>
      <c r="EQ115" s="42"/>
      <c r="ER115" s="42"/>
      <c r="ES115" s="42"/>
      <c r="ET115" s="42"/>
      <c r="EU115" s="42"/>
      <c r="EV115" s="42"/>
      <c r="EW115" s="42"/>
      <c r="EX115" s="42"/>
      <c r="EY115" s="42"/>
      <c r="EZ115" s="42"/>
      <c r="FA115" s="42"/>
      <c r="FB115" s="42"/>
      <c r="FC115" s="42"/>
      <c r="FD115" s="42"/>
      <c r="FE115" s="42"/>
      <c r="FF115" s="42"/>
      <c r="FG115" s="42"/>
      <c r="FH115" s="42"/>
      <c r="FI115" s="42"/>
      <c r="FJ115" s="42"/>
      <c r="FK115" s="42"/>
      <c r="FL115" s="42"/>
      <c r="FM115" s="42"/>
      <c r="FN115" s="42"/>
      <c r="FO115" s="42"/>
      <c r="FP115" s="42"/>
      <c r="FQ115" s="42"/>
      <c r="FR115" s="42"/>
      <c r="FS115" s="42"/>
      <c r="FT115" s="42"/>
      <c r="FU115" s="42"/>
      <c r="FV115" s="42"/>
      <c r="FW115" s="42"/>
      <c r="FX115" s="42"/>
      <c r="FY115" s="42"/>
      <c r="FZ115" s="42"/>
      <c r="GA115" s="42"/>
      <c r="GB115" s="42"/>
      <c r="GC115" s="42"/>
      <c r="GD115" s="42"/>
      <c r="GE115" s="42"/>
      <c r="GF115" s="42"/>
      <c r="GG115" s="42"/>
      <c r="GH115" s="42"/>
      <c r="GI115" s="42"/>
      <c r="GJ115" s="42"/>
      <c r="GK115" s="42"/>
      <c r="GL115" s="42"/>
      <c r="GM115" s="42"/>
      <c r="GN115" s="42"/>
      <c r="GO115" s="42"/>
      <c r="GP115" s="42"/>
      <c r="GQ115" s="42"/>
      <c r="GR115" s="42"/>
      <c r="GS115" s="42"/>
      <c r="GT115" s="42"/>
      <c r="GU115" s="42"/>
      <c r="GV115" s="42"/>
      <c r="GW115" s="42"/>
      <c r="GX115" s="42"/>
      <c r="GY115" s="42"/>
      <c r="GZ115" s="42"/>
      <c r="HA115" s="42"/>
      <c r="HB115" s="42"/>
      <c r="HC115" s="42"/>
      <c r="HD115" s="42"/>
      <c r="HE115" s="42"/>
      <c r="HF115" s="42"/>
      <c r="HG115" s="42"/>
      <c r="HH115" s="42"/>
      <c r="HI115" s="42"/>
      <c r="HJ115" s="42"/>
      <c r="HK115" s="42"/>
      <c r="HL115" s="42"/>
      <c r="HM115" s="42"/>
      <c r="HN115" s="42"/>
      <c r="HO115" s="42"/>
      <c r="HP115" s="42"/>
      <c r="HQ115" s="42"/>
      <c r="HR115" s="42"/>
      <c r="HS115" s="42"/>
      <c r="HT115" s="42"/>
      <c r="HU115" s="42"/>
      <c r="HV115" s="42"/>
      <c r="HW115" s="42"/>
      <c r="HX115" s="42"/>
      <c r="HY115" s="42"/>
      <c r="HZ115" s="42"/>
      <c r="IA115" s="42"/>
      <c r="IB115" s="42"/>
      <c r="IC115" s="42"/>
      <c r="ID115" s="42"/>
      <c r="IE115" s="42"/>
      <c r="IF115" s="42"/>
      <c r="IG115" s="42"/>
      <c r="IH115" s="42"/>
      <c r="II115" s="42"/>
      <c r="IJ115" s="42"/>
      <c r="IK115" s="42"/>
      <c r="IL115" s="42"/>
      <c r="IM115" s="42"/>
      <c r="IN115" s="42"/>
      <c r="IO115" s="42"/>
      <c r="IP115" s="42"/>
      <c r="IQ115" s="42"/>
      <c r="IR115" s="42"/>
      <c r="IS115" s="42"/>
      <c r="IT115" s="42"/>
      <c r="IU115" s="42"/>
    </row>
    <row r="116" spans="1:255" s="42" customFormat="1" ht="29.25" customHeight="1" x14ac:dyDescent="0.25">
      <c r="A116" s="79"/>
      <c r="B116" s="80" t="s">
        <v>19</v>
      </c>
      <c r="C116" s="80">
        <f>C61+0.01</f>
        <v>3.0199999999999996</v>
      </c>
      <c r="D116" s="162" t="s">
        <v>28</v>
      </c>
      <c r="E116" s="162"/>
      <c r="F116" s="162"/>
      <c r="G116" s="162"/>
      <c r="H116" s="41">
        <v>0.03</v>
      </c>
      <c r="I116" s="99" t="s">
        <v>19</v>
      </c>
      <c r="J116" s="42">
        <f>SUM(Q58:Q117)</f>
        <v>0</v>
      </c>
      <c r="K116" s="120">
        <v>0</v>
      </c>
      <c r="M116" s="42">
        <f>ROUND(+H116*J116,0)</f>
        <v>0</v>
      </c>
      <c r="O116" s="82" t="s">
        <v>29</v>
      </c>
      <c r="P116" s="83">
        <f>M116</f>
        <v>0</v>
      </c>
      <c r="Q116" s="83"/>
      <c r="R116" s="84"/>
    </row>
    <row r="117" spans="1:255" s="42" customFormat="1" ht="15" customHeight="1" x14ac:dyDescent="0.25">
      <c r="A117" s="79"/>
      <c r="B117" s="80"/>
      <c r="C117" s="80"/>
      <c r="O117" s="82"/>
      <c r="P117" s="83"/>
      <c r="Q117" s="83"/>
      <c r="R117" s="84"/>
    </row>
    <row r="118" spans="1:255" s="42" customFormat="1" ht="15" customHeight="1" x14ac:dyDescent="0.25">
      <c r="A118" s="79"/>
      <c r="B118" s="80"/>
      <c r="C118" s="80" t="s">
        <v>9</v>
      </c>
      <c r="H118" s="88"/>
      <c r="I118" s="88"/>
      <c r="J118" s="88"/>
      <c r="K118" s="88"/>
      <c r="L118" s="88"/>
      <c r="M118" s="88"/>
      <c r="O118" s="82"/>
      <c r="P118" s="83"/>
      <c r="Q118" s="83"/>
      <c r="R118" s="84"/>
    </row>
    <row r="119" spans="1:255" s="42" customFormat="1" ht="15" customHeight="1" thickBot="1" x14ac:dyDescent="0.3">
      <c r="A119" s="79"/>
      <c r="B119" s="80" t="s">
        <v>19</v>
      </c>
      <c r="C119" s="80"/>
      <c r="D119" s="161" t="str">
        <f>CONCATENATE("Subtotal ",D59)</f>
        <v>Subtotal Internal Divisions</v>
      </c>
      <c r="E119" s="160"/>
      <c r="F119" s="160"/>
      <c r="G119" s="160"/>
      <c r="H119" s="89">
        <f>H61+H94+H105</f>
        <v>296</v>
      </c>
      <c r="I119" s="90" t="s">
        <v>8</v>
      </c>
      <c r="J119" s="91">
        <f>M119/H119</f>
        <v>114.94763513513513</v>
      </c>
      <c r="K119" s="91">
        <v>129.86000000000001</v>
      </c>
      <c r="L119" s="89"/>
      <c r="M119" s="89">
        <f>SUM(M59:M118)</f>
        <v>34024.5</v>
      </c>
      <c r="N119" s="42">
        <f>M119</f>
        <v>34024.5</v>
      </c>
      <c r="O119" s="92"/>
      <c r="P119" s="93"/>
      <c r="Q119" s="93"/>
      <c r="R119" s="94">
        <f>SUM(P58:P119)+SUM(Q58:Q119)</f>
        <v>13842</v>
      </c>
    </row>
    <row r="120" spans="1:255" s="42" customFormat="1" ht="15" thickTop="1" x14ac:dyDescent="0.25">
      <c r="A120" s="79"/>
      <c r="B120" s="80"/>
      <c r="C120" s="80"/>
      <c r="O120" s="82"/>
      <c r="P120" s="83"/>
      <c r="Q120" s="83"/>
      <c r="R120" s="84"/>
    </row>
    <row r="121" spans="1:255" s="42" customFormat="1" ht="15" customHeight="1" x14ac:dyDescent="0.25">
      <c r="A121" s="79"/>
      <c r="B121" s="86" t="s">
        <v>19</v>
      </c>
      <c r="C121" s="86">
        <v>4</v>
      </c>
      <c r="D121" s="159" t="s">
        <v>41</v>
      </c>
      <c r="E121" s="160"/>
      <c r="F121" s="160"/>
      <c r="G121" s="160"/>
      <c r="O121" s="82"/>
      <c r="P121" s="83"/>
      <c r="Q121" s="83"/>
      <c r="R121" s="84"/>
    </row>
    <row r="122" spans="1:255" s="42" customFormat="1" ht="15" customHeight="1" x14ac:dyDescent="0.25">
      <c r="A122" s="79"/>
      <c r="B122" s="86"/>
      <c r="C122" s="86"/>
      <c r="D122" s="85"/>
      <c r="O122" s="82"/>
      <c r="P122" s="83"/>
      <c r="Q122" s="83"/>
      <c r="R122" s="84"/>
    </row>
    <row r="123" spans="1:255" s="42" customFormat="1" ht="15" customHeight="1" collapsed="1" x14ac:dyDescent="0.25">
      <c r="A123" s="79"/>
      <c r="B123" s="80"/>
      <c r="C123" s="80">
        <f>C121+0.01</f>
        <v>4.01</v>
      </c>
      <c r="D123" s="162" t="s">
        <v>42</v>
      </c>
      <c r="E123" s="162"/>
      <c r="F123" s="162"/>
      <c r="G123" s="162"/>
      <c r="H123" s="42">
        <f>ROUND(H125,0)</f>
        <v>54</v>
      </c>
      <c r="I123" s="99" t="s">
        <v>8</v>
      </c>
      <c r="J123" s="87">
        <v>110</v>
      </c>
      <c r="K123" s="87">
        <v>22.671755725190838</v>
      </c>
      <c r="L123" s="151"/>
      <c r="M123" s="151">
        <f>ROUND(+H123*J123,0)</f>
        <v>5940</v>
      </c>
      <c r="N123" s="151"/>
      <c r="O123" s="82" t="s">
        <v>15</v>
      </c>
      <c r="P123" s="83">
        <f>M123</f>
        <v>5940</v>
      </c>
      <c r="Q123" s="83"/>
      <c r="R123" s="153"/>
    </row>
    <row r="124" spans="1:255" s="42" customFormat="1" ht="15" customHeight="1" x14ac:dyDescent="0.25">
      <c r="A124" s="79"/>
      <c r="B124" s="80"/>
      <c r="C124" s="80"/>
      <c r="K124" s="121"/>
      <c r="O124" s="82"/>
      <c r="P124" s="83"/>
      <c r="Q124" s="83"/>
      <c r="R124" s="84"/>
    </row>
    <row r="125" spans="1:255" s="42" customFormat="1" ht="15" customHeight="1" outlineLevel="2" x14ac:dyDescent="0.25">
      <c r="A125" s="79"/>
      <c r="B125" s="80"/>
      <c r="C125" s="80"/>
      <c r="D125" s="119"/>
      <c r="E125" s="101"/>
      <c r="F125" s="101"/>
      <c r="G125" s="101"/>
      <c r="H125" s="101">
        <f>SUM(H127:H130)</f>
        <v>53.73</v>
      </c>
      <c r="K125" s="87"/>
      <c r="O125" s="82"/>
      <c r="P125" s="96"/>
      <c r="Q125" s="96"/>
      <c r="R125" s="84"/>
    </row>
    <row r="126" spans="1:255" s="105" customFormat="1" ht="15" customHeight="1" outlineLevel="2" x14ac:dyDescent="0.25">
      <c r="A126" s="79"/>
      <c r="B126" s="80"/>
      <c r="C126" s="80"/>
      <c r="D126" s="101"/>
      <c r="E126" s="101"/>
      <c r="F126" s="101"/>
      <c r="G126" s="101"/>
      <c r="H126" s="101"/>
      <c r="I126" s="42"/>
      <c r="J126" s="42"/>
      <c r="K126" s="87"/>
      <c r="L126" s="42"/>
      <c r="M126" s="42"/>
      <c r="N126" s="42"/>
      <c r="O126" s="82"/>
      <c r="P126" s="96"/>
      <c r="Q126" s="96"/>
      <c r="R126" s="84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  <c r="CR126" s="42"/>
      <c r="CS126" s="42"/>
      <c r="CT126" s="42"/>
      <c r="CU126" s="42"/>
      <c r="CV126" s="42"/>
      <c r="CW126" s="42"/>
      <c r="CX126" s="42"/>
      <c r="CY126" s="42"/>
      <c r="CZ126" s="42"/>
      <c r="DA126" s="42"/>
      <c r="DB126" s="42"/>
      <c r="DC126" s="42"/>
      <c r="DD126" s="42"/>
      <c r="DE126" s="42"/>
      <c r="DF126" s="42"/>
      <c r="DG126" s="42"/>
      <c r="DH126" s="42"/>
      <c r="DI126" s="42"/>
      <c r="DJ126" s="42"/>
      <c r="DK126" s="42"/>
      <c r="DL126" s="42"/>
      <c r="DM126" s="42"/>
      <c r="DN126" s="42"/>
      <c r="DO126" s="42"/>
      <c r="DP126" s="42"/>
      <c r="DQ126" s="42"/>
      <c r="DR126" s="42"/>
      <c r="DS126" s="42"/>
      <c r="DT126" s="42"/>
      <c r="DU126" s="42"/>
      <c r="DV126" s="42"/>
      <c r="DW126" s="42"/>
      <c r="DX126" s="42"/>
      <c r="DY126" s="42"/>
      <c r="DZ126" s="42"/>
      <c r="EA126" s="42"/>
      <c r="EB126" s="42"/>
      <c r="EC126" s="42"/>
      <c r="ED126" s="42"/>
      <c r="EE126" s="42"/>
      <c r="EF126" s="42"/>
      <c r="EG126" s="42"/>
      <c r="EH126" s="42"/>
      <c r="EI126" s="42"/>
      <c r="EJ126" s="42"/>
      <c r="EK126" s="42"/>
      <c r="EL126" s="42"/>
      <c r="EM126" s="42"/>
      <c r="EN126" s="42"/>
      <c r="EO126" s="42"/>
      <c r="EP126" s="42"/>
      <c r="EQ126" s="42"/>
      <c r="ER126" s="42"/>
      <c r="ES126" s="42"/>
      <c r="ET126" s="42"/>
      <c r="EU126" s="42"/>
      <c r="EV126" s="42"/>
      <c r="EW126" s="42"/>
      <c r="EX126" s="42"/>
      <c r="EY126" s="42"/>
      <c r="EZ126" s="42"/>
      <c r="FA126" s="42"/>
      <c r="FB126" s="42"/>
      <c r="FC126" s="42"/>
      <c r="FD126" s="42"/>
      <c r="FE126" s="42"/>
      <c r="FF126" s="42"/>
      <c r="FG126" s="42"/>
      <c r="FH126" s="42"/>
      <c r="FI126" s="42"/>
      <c r="FJ126" s="42"/>
      <c r="FK126" s="42"/>
      <c r="FL126" s="42"/>
      <c r="FM126" s="42"/>
      <c r="FN126" s="42"/>
      <c r="FO126" s="42"/>
      <c r="FP126" s="42"/>
      <c r="FQ126" s="42"/>
      <c r="FR126" s="42"/>
      <c r="FS126" s="42"/>
      <c r="FT126" s="42"/>
      <c r="FU126" s="42"/>
      <c r="FV126" s="42"/>
      <c r="FW126" s="42"/>
      <c r="FX126" s="42"/>
      <c r="FY126" s="42"/>
      <c r="FZ126" s="42"/>
      <c r="GA126" s="42"/>
      <c r="GB126" s="42"/>
      <c r="GC126" s="42"/>
      <c r="GD126" s="42"/>
      <c r="GE126" s="42"/>
      <c r="GF126" s="42"/>
      <c r="GG126" s="42"/>
      <c r="GH126" s="42"/>
      <c r="GI126" s="42"/>
      <c r="GJ126" s="42"/>
      <c r="GK126" s="42"/>
      <c r="GL126" s="42"/>
      <c r="GM126" s="42"/>
      <c r="GN126" s="42"/>
      <c r="GO126" s="42"/>
      <c r="GP126" s="42"/>
      <c r="GQ126" s="42"/>
      <c r="GR126" s="42"/>
      <c r="GS126" s="42"/>
      <c r="GT126" s="42"/>
      <c r="GU126" s="42"/>
      <c r="GV126" s="42"/>
      <c r="GW126" s="42"/>
      <c r="GX126" s="42"/>
      <c r="GY126" s="42"/>
      <c r="GZ126" s="42"/>
      <c r="HA126" s="42"/>
      <c r="HB126" s="42"/>
      <c r="HC126" s="42"/>
      <c r="HD126" s="42"/>
      <c r="HE126" s="42"/>
      <c r="HF126" s="42"/>
      <c r="HG126" s="42"/>
      <c r="HH126" s="42"/>
      <c r="HI126" s="42"/>
      <c r="HJ126" s="42"/>
      <c r="HK126" s="42"/>
      <c r="HL126" s="42"/>
      <c r="HM126" s="42"/>
      <c r="HN126" s="42"/>
      <c r="HO126" s="42"/>
      <c r="HP126" s="42"/>
      <c r="HQ126" s="42"/>
      <c r="HR126" s="42"/>
      <c r="HS126" s="42"/>
      <c r="HT126" s="42"/>
      <c r="HU126" s="42"/>
      <c r="HV126" s="42"/>
      <c r="HW126" s="42"/>
      <c r="HX126" s="42"/>
      <c r="HY126" s="42"/>
      <c r="HZ126" s="42"/>
      <c r="IA126" s="42"/>
      <c r="IB126" s="42"/>
      <c r="IC126" s="42"/>
      <c r="ID126" s="42"/>
      <c r="IE126" s="42"/>
      <c r="IF126" s="42"/>
      <c r="IG126" s="42"/>
      <c r="IH126" s="42"/>
      <c r="II126" s="42"/>
      <c r="IJ126" s="42"/>
      <c r="IK126" s="42"/>
      <c r="IL126" s="42"/>
      <c r="IM126" s="42"/>
      <c r="IN126" s="42"/>
      <c r="IO126" s="42"/>
      <c r="IP126" s="42"/>
      <c r="IQ126" s="42"/>
      <c r="IR126" s="42"/>
      <c r="IS126" s="42"/>
      <c r="IT126" s="42"/>
      <c r="IU126" s="42"/>
    </row>
    <row r="127" spans="1:255" s="105" customFormat="1" ht="15" customHeight="1" outlineLevel="2" x14ac:dyDescent="0.25">
      <c r="B127" s="104"/>
      <c r="C127" s="104"/>
      <c r="D127" s="101">
        <v>1</v>
      </c>
      <c r="E127" s="101">
        <v>53.73</v>
      </c>
      <c r="F127" s="101">
        <v>1</v>
      </c>
      <c r="G127" s="101">
        <v>1</v>
      </c>
      <c r="H127" s="101">
        <f t="shared" ref="H127:H129" si="4">D127*E127*F127*G127</f>
        <v>53.73</v>
      </c>
      <c r="I127" s="44"/>
      <c r="J127" s="117"/>
      <c r="K127" s="117"/>
      <c r="O127" s="115"/>
      <c r="P127" s="118"/>
      <c r="Q127" s="118"/>
      <c r="R127" s="108"/>
    </row>
    <row r="128" spans="1:255" s="105" customFormat="1" ht="15" customHeight="1" outlineLevel="2" x14ac:dyDescent="0.25">
      <c r="B128" s="104"/>
      <c r="C128" s="104"/>
      <c r="D128" s="101">
        <v>1</v>
      </c>
      <c r="E128" s="101">
        <f>[2]Areas!G43</f>
        <v>0</v>
      </c>
      <c r="F128" s="101">
        <v>1</v>
      </c>
      <c r="G128" s="101">
        <v>1</v>
      </c>
      <c r="H128" s="101">
        <f t="shared" si="4"/>
        <v>0</v>
      </c>
      <c r="I128" s="44"/>
      <c r="J128" s="117"/>
      <c r="K128" s="117"/>
      <c r="O128" s="115"/>
      <c r="P128" s="118"/>
      <c r="Q128" s="118"/>
      <c r="R128" s="108"/>
    </row>
    <row r="129" spans="1:255" s="105" customFormat="1" ht="15" customHeight="1" outlineLevel="2" x14ac:dyDescent="0.25">
      <c r="B129" s="104"/>
      <c r="C129" s="104"/>
      <c r="D129" s="101">
        <v>1</v>
      </c>
      <c r="E129" s="101">
        <v>0</v>
      </c>
      <c r="F129" s="101">
        <v>1</v>
      </c>
      <c r="G129" s="101">
        <v>1</v>
      </c>
      <c r="H129" s="101">
        <f t="shared" si="4"/>
        <v>0</v>
      </c>
      <c r="I129" s="44"/>
      <c r="J129" s="117"/>
      <c r="K129" s="117"/>
      <c r="O129" s="115"/>
      <c r="P129" s="118"/>
      <c r="Q129" s="118"/>
      <c r="R129" s="108"/>
    </row>
    <row r="130" spans="1:255" s="105" customFormat="1" ht="15" customHeight="1" outlineLevel="2" x14ac:dyDescent="0.25">
      <c r="B130" s="104"/>
      <c r="C130" s="104"/>
      <c r="D130" s="101"/>
      <c r="E130" s="101"/>
      <c r="F130" s="101"/>
      <c r="G130" s="101"/>
      <c r="H130" s="101"/>
      <c r="J130" s="117"/>
      <c r="K130" s="117"/>
      <c r="O130" s="115"/>
      <c r="P130" s="118"/>
      <c r="Q130" s="118"/>
      <c r="R130" s="108"/>
    </row>
    <row r="131" spans="1:255" s="42" customFormat="1" ht="15" customHeight="1" x14ac:dyDescent="0.25">
      <c r="A131" s="79"/>
      <c r="B131" s="80"/>
      <c r="C131" s="80">
        <f>C123+0.01</f>
        <v>4.0199999999999996</v>
      </c>
      <c r="D131" s="162" t="s">
        <v>43</v>
      </c>
      <c r="E131" s="162"/>
      <c r="F131" s="162"/>
      <c r="G131" s="162"/>
      <c r="H131" s="42">
        <f>ROUND(H133,0)</f>
        <v>63</v>
      </c>
      <c r="I131" s="99" t="s">
        <v>8</v>
      </c>
      <c r="J131" s="87">
        <f>J123</f>
        <v>110</v>
      </c>
      <c r="K131" s="87">
        <v>26.450381679389313</v>
      </c>
      <c r="L131" s="151"/>
      <c r="M131" s="151">
        <f>ROUND(+H131*J131,0)</f>
        <v>6930</v>
      </c>
      <c r="N131" s="151"/>
      <c r="O131" s="82" t="s">
        <v>15</v>
      </c>
      <c r="P131" s="83">
        <f>M131</f>
        <v>6930</v>
      </c>
      <c r="Q131" s="83"/>
      <c r="R131" s="153"/>
    </row>
    <row r="132" spans="1:255" s="42" customFormat="1" ht="15" customHeight="1" x14ac:dyDescent="0.25">
      <c r="A132" s="79"/>
      <c r="B132" s="80"/>
      <c r="C132" s="80"/>
      <c r="K132" s="121"/>
      <c r="O132" s="82"/>
      <c r="P132" s="83"/>
      <c r="Q132" s="83"/>
      <c r="R132" s="84"/>
    </row>
    <row r="133" spans="1:255" s="42" customFormat="1" ht="15" customHeight="1" outlineLevel="2" x14ac:dyDescent="0.25">
      <c r="A133" s="79"/>
      <c r="B133" s="80"/>
      <c r="C133" s="80"/>
      <c r="D133" s="119"/>
      <c r="E133" s="101"/>
      <c r="F133" s="101"/>
      <c r="G133" s="101"/>
      <c r="H133" s="101">
        <f>SUM(H135:H138)</f>
        <v>63.197000000000003</v>
      </c>
      <c r="K133" s="87"/>
      <c r="O133" s="82"/>
      <c r="P133" s="96"/>
      <c r="Q133" s="96"/>
      <c r="R133" s="84"/>
    </row>
    <row r="134" spans="1:255" s="105" customFormat="1" ht="15" customHeight="1" outlineLevel="2" x14ac:dyDescent="0.25">
      <c r="A134" s="79"/>
      <c r="B134" s="80"/>
      <c r="C134" s="80"/>
      <c r="D134" s="101"/>
      <c r="E134" s="101"/>
      <c r="F134" s="101"/>
      <c r="G134" s="101"/>
      <c r="H134" s="101"/>
      <c r="I134" s="42"/>
      <c r="J134" s="42"/>
      <c r="K134" s="87"/>
      <c r="L134" s="42"/>
      <c r="M134" s="42"/>
      <c r="N134" s="42"/>
      <c r="O134" s="82"/>
      <c r="P134" s="96"/>
      <c r="Q134" s="96"/>
      <c r="R134" s="84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  <c r="CR134" s="42"/>
      <c r="CS134" s="42"/>
      <c r="CT134" s="42"/>
      <c r="CU134" s="42"/>
      <c r="CV134" s="42"/>
      <c r="CW134" s="42"/>
      <c r="CX134" s="42"/>
      <c r="CY134" s="42"/>
      <c r="CZ134" s="42"/>
      <c r="DA134" s="42"/>
      <c r="DB134" s="42"/>
      <c r="DC134" s="42"/>
      <c r="DD134" s="42"/>
      <c r="DE134" s="42"/>
      <c r="DF134" s="42"/>
      <c r="DG134" s="42"/>
      <c r="DH134" s="42"/>
      <c r="DI134" s="42"/>
      <c r="DJ134" s="42"/>
      <c r="DK134" s="42"/>
      <c r="DL134" s="42"/>
      <c r="DM134" s="42"/>
      <c r="DN134" s="42"/>
      <c r="DO134" s="42"/>
      <c r="DP134" s="42"/>
      <c r="DQ134" s="42"/>
      <c r="DR134" s="42"/>
      <c r="DS134" s="42"/>
      <c r="DT134" s="42"/>
      <c r="DU134" s="42"/>
      <c r="DV134" s="42"/>
      <c r="DW134" s="42"/>
      <c r="DX134" s="42"/>
      <c r="DY134" s="42"/>
      <c r="DZ134" s="42"/>
      <c r="EA134" s="42"/>
      <c r="EB134" s="42"/>
      <c r="EC134" s="42"/>
      <c r="ED134" s="42"/>
      <c r="EE134" s="42"/>
      <c r="EF134" s="42"/>
      <c r="EG134" s="42"/>
      <c r="EH134" s="42"/>
      <c r="EI134" s="42"/>
      <c r="EJ134" s="42"/>
      <c r="EK134" s="42"/>
      <c r="EL134" s="42"/>
      <c r="EM134" s="42"/>
      <c r="EN134" s="42"/>
      <c r="EO134" s="42"/>
      <c r="EP134" s="42"/>
      <c r="EQ134" s="42"/>
      <c r="ER134" s="42"/>
      <c r="ES134" s="42"/>
      <c r="ET134" s="42"/>
      <c r="EU134" s="42"/>
      <c r="EV134" s="42"/>
      <c r="EW134" s="42"/>
      <c r="EX134" s="42"/>
      <c r="EY134" s="42"/>
      <c r="EZ134" s="42"/>
      <c r="FA134" s="42"/>
      <c r="FB134" s="42"/>
      <c r="FC134" s="42"/>
      <c r="FD134" s="42"/>
      <c r="FE134" s="42"/>
      <c r="FF134" s="42"/>
      <c r="FG134" s="42"/>
      <c r="FH134" s="42"/>
      <c r="FI134" s="42"/>
      <c r="FJ134" s="42"/>
      <c r="FK134" s="42"/>
      <c r="FL134" s="42"/>
      <c r="FM134" s="42"/>
      <c r="FN134" s="42"/>
      <c r="FO134" s="42"/>
      <c r="FP134" s="42"/>
      <c r="FQ134" s="42"/>
      <c r="FR134" s="42"/>
      <c r="FS134" s="42"/>
      <c r="FT134" s="42"/>
      <c r="FU134" s="42"/>
      <c r="FV134" s="42"/>
      <c r="FW134" s="42"/>
      <c r="FX134" s="42"/>
      <c r="FY134" s="42"/>
      <c r="FZ134" s="42"/>
      <c r="GA134" s="42"/>
      <c r="GB134" s="42"/>
      <c r="GC134" s="42"/>
      <c r="GD134" s="42"/>
      <c r="GE134" s="42"/>
      <c r="GF134" s="42"/>
      <c r="GG134" s="42"/>
      <c r="GH134" s="42"/>
      <c r="GI134" s="42"/>
      <c r="GJ134" s="42"/>
      <c r="GK134" s="42"/>
      <c r="GL134" s="42"/>
      <c r="GM134" s="42"/>
      <c r="GN134" s="42"/>
      <c r="GO134" s="42"/>
      <c r="GP134" s="42"/>
      <c r="GQ134" s="42"/>
      <c r="GR134" s="42"/>
      <c r="GS134" s="42"/>
      <c r="GT134" s="42"/>
      <c r="GU134" s="42"/>
      <c r="GV134" s="42"/>
      <c r="GW134" s="42"/>
      <c r="GX134" s="42"/>
      <c r="GY134" s="42"/>
      <c r="GZ134" s="42"/>
      <c r="HA134" s="42"/>
      <c r="HB134" s="42"/>
      <c r="HC134" s="42"/>
      <c r="HD134" s="42"/>
      <c r="HE134" s="42"/>
      <c r="HF134" s="42"/>
      <c r="HG134" s="42"/>
      <c r="HH134" s="42"/>
      <c r="HI134" s="42"/>
      <c r="HJ134" s="42"/>
      <c r="HK134" s="42"/>
      <c r="HL134" s="42"/>
      <c r="HM134" s="42"/>
      <c r="HN134" s="42"/>
      <c r="HO134" s="42"/>
      <c r="HP134" s="42"/>
      <c r="HQ134" s="42"/>
      <c r="HR134" s="42"/>
      <c r="HS134" s="42"/>
      <c r="HT134" s="42"/>
      <c r="HU134" s="42"/>
      <c r="HV134" s="42"/>
      <c r="HW134" s="42"/>
      <c r="HX134" s="42"/>
      <c r="HY134" s="42"/>
      <c r="HZ134" s="42"/>
      <c r="IA134" s="42"/>
      <c r="IB134" s="42"/>
      <c r="IC134" s="42"/>
      <c r="ID134" s="42"/>
      <c r="IE134" s="42"/>
      <c r="IF134" s="42"/>
      <c r="IG134" s="42"/>
      <c r="IH134" s="42"/>
      <c r="II134" s="42"/>
      <c r="IJ134" s="42"/>
      <c r="IK134" s="42"/>
      <c r="IL134" s="42"/>
      <c r="IM134" s="42"/>
      <c r="IN134" s="42"/>
      <c r="IO134" s="42"/>
      <c r="IP134" s="42"/>
      <c r="IQ134" s="42"/>
      <c r="IR134" s="42"/>
      <c r="IS134" s="42"/>
      <c r="IT134" s="42"/>
      <c r="IU134" s="42"/>
    </row>
    <row r="135" spans="1:255" s="105" customFormat="1" ht="15" customHeight="1" outlineLevel="2" x14ac:dyDescent="0.25">
      <c r="B135" s="104"/>
      <c r="C135" s="104"/>
      <c r="D135" s="101">
        <v>1</v>
      </c>
      <c r="E135" s="101">
        <v>56.74</v>
      </c>
      <c r="F135" s="101">
        <v>1</v>
      </c>
      <c r="G135" s="101">
        <v>1</v>
      </c>
      <c r="H135" s="101">
        <f t="shared" ref="H135:H137" si="5">D135*E135*F135*G135</f>
        <v>56.74</v>
      </c>
      <c r="I135" s="44" t="s">
        <v>44</v>
      </c>
      <c r="J135" s="117"/>
      <c r="K135" s="117"/>
      <c r="O135" s="115"/>
      <c r="P135" s="118"/>
      <c r="Q135" s="118"/>
      <c r="R135" s="108"/>
    </row>
    <row r="136" spans="1:255" s="105" customFormat="1" ht="15" customHeight="1" outlineLevel="2" x14ac:dyDescent="0.25">
      <c r="B136" s="104"/>
      <c r="C136" s="104"/>
      <c r="D136" s="101">
        <v>1.1000000000000001</v>
      </c>
      <c r="E136" s="101">
        <v>5.87</v>
      </c>
      <c r="F136" s="101">
        <v>1</v>
      </c>
      <c r="G136" s="101">
        <v>1</v>
      </c>
      <c r="H136" s="101">
        <f t="shared" si="5"/>
        <v>6.4570000000000007</v>
      </c>
      <c r="I136" s="44" t="s">
        <v>45</v>
      </c>
      <c r="J136" s="117"/>
      <c r="K136" s="117"/>
      <c r="O136" s="115"/>
      <c r="P136" s="118"/>
      <c r="Q136" s="118"/>
      <c r="R136" s="108"/>
    </row>
    <row r="137" spans="1:255" s="105" customFormat="1" ht="15" customHeight="1" outlineLevel="2" x14ac:dyDescent="0.25">
      <c r="B137" s="104"/>
      <c r="C137" s="104"/>
      <c r="D137" s="101">
        <v>1</v>
      </c>
      <c r="E137" s="101">
        <v>0</v>
      </c>
      <c r="F137" s="101">
        <v>1</v>
      </c>
      <c r="G137" s="101">
        <v>1</v>
      </c>
      <c r="H137" s="101">
        <f t="shared" si="5"/>
        <v>0</v>
      </c>
      <c r="I137" s="44"/>
      <c r="J137" s="117"/>
      <c r="K137" s="117"/>
      <c r="O137" s="115"/>
      <c r="P137" s="118"/>
      <c r="Q137" s="118"/>
      <c r="R137" s="108"/>
    </row>
    <row r="138" spans="1:255" s="105" customFormat="1" ht="15" customHeight="1" outlineLevel="2" x14ac:dyDescent="0.25">
      <c r="B138" s="104"/>
      <c r="C138" s="104"/>
      <c r="D138" s="101"/>
      <c r="E138" s="101"/>
      <c r="F138" s="101"/>
      <c r="G138" s="101"/>
      <c r="H138" s="101"/>
      <c r="J138" s="117"/>
      <c r="K138" s="117"/>
      <c r="O138" s="115"/>
      <c r="P138" s="118"/>
      <c r="Q138" s="118"/>
      <c r="R138" s="108"/>
    </row>
    <row r="139" spans="1:255" s="42" customFormat="1" ht="15" customHeight="1" x14ac:dyDescent="0.25">
      <c r="A139" s="79"/>
      <c r="B139" s="80"/>
      <c r="C139" s="80">
        <f>C131+0.01</f>
        <v>4.0299999999999994</v>
      </c>
      <c r="D139" s="162" t="s">
        <v>46</v>
      </c>
      <c r="E139" s="162"/>
      <c r="F139" s="162"/>
      <c r="G139" s="162"/>
      <c r="H139" s="42">
        <f>ROUND(H141,0)</f>
        <v>32</v>
      </c>
      <c r="I139" s="99" t="s">
        <v>8</v>
      </c>
      <c r="J139" s="87">
        <f>J123</f>
        <v>110</v>
      </c>
      <c r="K139" s="87">
        <v>13.435114503816793</v>
      </c>
      <c r="L139" s="151"/>
      <c r="M139" s="151">
        <f>ROUND(+H139*J139,0)</f>
        <v>3520</v>
      </c>
      <c r="N139" s="151"/>
      <c r="O139" s="82" t="s">
        <v>15</v>
      </c>
      <c r="P139" s="83">
        <f>M139</f>
        <v>3520</v>
      </c>
      <c r="Q139" s="83"/>
      <c r="R139" s="153"/>
    </row>
    <row r="140" spans="1:255" s="42" customFormat="1" ht="15" customHeight="1" x14ac:dyDescent="0.25">
      <c r="A140" s="79"/>
      <c r="B140" s="80"/>
      <c r="C140" s="80"/>
      <c r="K140" s="121"/>
      <c r="O140" s="82"/>
      <c r="P140" s="83"/>
      <c r="Q140" s="83"/>
      <c r="R140" s="84"/>
    </row>
    <row r="141" spans="1:255" s="42" customFormat="1" ht="15" customHeight="1" outlineLevel="2" x14ac:dyDescent="0.25">
      <c r="A141" s="79"/>
      <c r="B141" s="80"/>
      <c r="C141" s="80"/>
      <c r="D141" s="119"/>
      <c r="E141" s="101"/>
      <c r="F141" s="101"/>
      <c r="G141" s="101"/>
      <c r="H141" s="101">
        <f>SUM(H143:H146)</f>
        <v>32.340000000000003</v>
      </c>
      <c r="K141" s="87"/>
      <c r="O141" s="82"/>
      <c r="P141" s="96"/>
      <c r="Q141" s="96"/>
      <c r="R141" s="84"/>
    </row>
    <row r="142" spans="1:255" s="105" customFormat="1" ht="15" customHeight="1" outlineLevel="2" x14ac:dyDescent="0.25">
      <c r="A142" s="79"/>
      <c r="B142" s="80"/>
      <c r="C142" s="80"/>
      <c r="D142" s="101"/>
      <c r="E142" s="101"/>
      <c r="F142" s="101"/>
      <c r="G142" s="101"/>
      <c r="H142" s="101"/>
      <c r="I142" s="42"/>
      <c r="J142" s="42"/>
      <c r="K142" s="87"/>
      <c r="L142" s="42"/>
      <c r="M142" s="42"/>
      <c r="N142" s="42"/>
      <c r="O142" s="82"/>
      <c r="P142" s="96"/>
      <c r="Q142" s="96"/>
      <c r="R142" s="84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42"/>
      <c r="CH142" s="42"/>
      <c r="CI142" s="42"/>
      <c r="CJ142" s="42"/>
      <c r="CK142" s="42"/>
      <c r="CL142" s="42"/>
      <c r="CM142" s="42"/>
      <c r="CN142" s="42"/>
      <c r="CO142" s="42"/>
      <c r="CP142" s="42"/>
      <c r="CQ142" s="42"/>
      <c r="CR142" s="42"/>
      <c r="CS142" s="42"/>
      <c r="CT142" s="42"/>
      <c r="CU142" s="42"/>
      <c r="CV142" s="42"/>
      <c r="CW142" s="42"/>
      <c r="CX142" s="42"/>
      <c r="CY142" s="42"/>
      <c r="CZ142" s="42"/>
      <c r="DA142" s="42"/>
      <c r="DB142" s="42"/>
      <c r="DC142" s="42"/>
      <c r="DD142" s="42"/>
      <c r="DE142" s="42"/>
      <c r="DF142" s="42"/>
      <c r="DG142" s="42"/>
      <c r="DH142" s="42"/>
      <c r="DI142" s="42"/>
      <c r="DJ142" s="42"/>
      <c r="DK142" s="42"/>
      <c r="DL142" s="42"/>
      <c r="DM142" s="42"/>
      <c r="DN142" s="42"/>
      <c r="DO142" s="42"/>
      <c r="DP142" s="42"/>
      <c r="DQ142" s="42"/>
      <c r="DR142" s="42"/>
      <c r="DS142" s="42"/>
      <c r="DT142" s="42"/>
      <c r="DU142" s="42"/>
      <c r="DV142" s="42"/>
      <c r="DW142" s="42"/>
      <c r="DX142" s="42"/>
      <c r="DY142" s="42"/>
      <c r="DZ142" s="42"/>
      <c r="EA142" s="42"/>
      <c r="EB142" s="42"/>
      <c r="EC142" s="42"/>
      <c r="ED142" s="42"/>
      <c r="EE142" s="42"/>
      <c r="EF142" s="42"/>
      <c r="EG142" s="42"/>
      <c r="EH142" s="42"/>
      <c r="EI142" s="42"/>
      <c r="EJ142" s="42"/>
      <c r="EK142" s="42"/>
      <c r="EL142" s="42"/>
      <c r="EM142" s="42"/>
      <c r="EN142" s="42"/>
      <c r="EO142" s="42"/>
      <c r="EP142" s="42"/>
      <c r="EQ142" s="42"/>
      <c r="ER142" s="42"/>
      <c r="ES142" s="42"/>
      <c r="ET142" s="42"/>
      <c r="EU142" s="42"/>
      <c r="EV142" s="42"/>
      <c r="EW142" s="42"/>
      <c r="EX142" s="42"/>
      <c r="EY142" s="42"/>
      <c r="EZ142" s="42"/>
      <c r="FA142" s="42"/>
      <c r="FB142" s="42"/>
      <c r="FC142" s="42"/>
      <c r="FD142" s="42"/>
      <c r="FE142" s="42"/>
      <c r="FF142" s="42"/>
      <c r="FG142" s="42"/>
      <c r="FH142" s="42"/>
      <c r="FI142" s="42"/>
      <c r="FJ142" s="42"/>
      <c r="FK142" s="42"/>
      <c r="FL142" s="42"/>
      <c r="FM142" s="42"/>
      <c r="FN142" s="42"/>
      <c r="FO142" s="42"/>
      <c r="FP142" s="42"/>
      <c r="FQ142" s="42"/>
      <c r="FR142" s="42"/>
      <c r="FS142" s="42"/>
      <c r="FT142" s="42"/>
      <c r="FU142" s="42"/>
      <c r="FV142" s="42"/>
      <c r="FW142" s="42"/>
      <c r="FX142" s="42"/>
      <c r="FY142" s="42"/>
      <c r="FZ142" s="42"/>
      <c r="GA142" s="42"/>
      <c r="GB142" s="42"/>
      <c r="GC142" s="42"/>
      <c r="GD142" s="42"/>
      <c r="GE142" s="42"/>
      <c r="GF142" s="42"/>
      <c r="GG142" s="42"/>
      <c r="GH142" s="42"/>
      <c r="GI142" s="42"/>
      <c r="GJ142" s="42"/>
      <c r="GK142" s="42"/>
      <c r="GL142" s="42"/>
      <c r="GM142" s="42"/>
      <c r="GN142" s="42"/>
      <c r="GO142" s="42"/>
      <c r="GP142" s="42"/>
      <c r="GQ142" s="42"/>
      <c r="GR142" s="42"/>
      <c r="GS142" s="42"/>
      <c r="GT142" s="42"/>
      <c r="GU142" s="42"/>
      <c r="GV142" s="42"/>
      <c r="GW142" s="42"/>
      <c r="GX142" s="42"/>
      <c r="GY142" s="42"/>
      <c r="GZ142" s="42"/>
      <c r="HA142" s="42"/>
      <c r="HB142" s="42"/>
      <c r="HC142" s="42"/>
      <c r="HD142" s="42"/>
      <c r="HE142" s="42"/>
      <c r="HF142" s="42"/>
      <c r="HG142" s="42"/>
      <c r="HH142" s="42"/>
      <c r="HI142" s="42"/>
      <c r="HJ142" s="42"/>
      <c r="HK142" s="42"/>
      <c r="HL142" s="42"/>
      <c r="HM142" s="42"/>
      <c r="HN142" s="42"/>
      <c r="HO142" s="42"/>
      <c r="HP142" s="42"/>
      <c r="HQ142" s="42"/>
      <c r="HR142" s="42"/>
      <c r="HS142" s="42"/>
      <c r="HT142" s="42"/>
      <c r="HU142" s="42"/>
      <c r="HV142" s="42"/>
      <c r="HW142" s="42"/>
      <c r="HX142" s="42"/>
      <c r="HY142" s="42"/>
      <c r="HZ142" s="42"/>
      <c r="IA142" s="42"/>
      <c r="IB142" s="42"/>
      <c r="IC142" s="42"/>
      <c r="ID142" s="42"/>
      <c r="IE142" s="42"/>
      <c r="IF142" s="42"/>
      <c r="IG142" s="42"/>
      <c r="IH142" s="42"/>
      <c r="II142" s="42"/>
      <c r="IJ142" s="42"/>
      <c r="IK142" s="42"/>
      <c r="IL142" s="42"/>
      <c r="IM142" s="42"/>
      <c r="IN142" s="42"/>
      <c r="IO142" s="42"/>
      <c r="IP142" s="42"/>
      <c r="IQ142" s="42"/>
      <c r="IR142" s="42"/>
      <c r="IS142" s="42"/>
      <c r="IT142" s="42"/>
      <c r="IU142" s="42"/>
    </row>
    <row r="143" spans="1:255" s="105" customFormat="1" ht="15" customHeight="1" outlineLevel="2" x14ac:dyDescent="0.25">
      <c r="B143" s="104"/>
      <c r="C143" s="104"/>
      <c r="D143" s="101">
        <v>1</v>
      </c>
      <c r="E143" s="101">
        <v>32.340000000000003</v>
      </c>
      <c r="F143" s="101">
        <v>1</v>
      </c>
      <c r="G143" s="101">
        <v>1</v>
      </c>
      <c r="H143" s="101">
        <f t="shared" ref="H143:H145" si="6">D143*E143*F143*G143</f>
        <v>32.340000000000003</v>
      </c>
      <c r="I143" s="44"/>
      <c r="J143" s="117"/>
      <c r="K143" s="117"/>
      <c r="O143" s="115"/>
      <c r="P143" s="118"/>
      <c r="Q143" s="118"/>
      <c r="R143" s="108"/>
    </row>
    <row r="144" spans="1:255" s="105" customFormat="1" ht="15" customHeight="1" outlineLevel="2" x14ac:dyDescent="0.25">
      <c r="B144" s="104"/>
      <c r="C144" s="104"/>
      <c r="D144" s="101">
        <v>1</v>
      </c>
      <c r="E144" s="101">
        <f>[2]Areas!G51</f>
        <v>0</v>
      </c>
      <c r="F144" s="101">
        <v>1</v>
      </c>
      <c r="G144" s="101">
        <v>1</v>
      </c>
      <c r="H144" s="101">
        <f t="shared" si="6"/>
        <v>0</v>
      </c>
      <c r="I144" s="44"/>
      <c r="J144" s="117"/>
      <c r="K144" s="117"/>
      <c r="O144" s="115"/>
      <c r="P144" s="118"/>
      <c r="Q144" s="118"/>
      <c r="R144" s="108"/>
    </row>
    <row r="145" spans="1:255" s="105" customFormat="1" ht="15" customHeight="1" outlineLevel="2" x14ac:dyDescent="0.25">
      <c r="B145" s="104"/>
      <c r="C145" s="104"/>
      <c r="D145" s="101">
        <v>1</v>
      </c>
      <c r="E145" s="101">
        <v>0</v>
      </c>
      <c r="F145" s="101">
        <v>1</v>
      </c>
      <c r="G145" s="101">
        <v>1</v>
      </c>
      <c r="H145" s="101">
        <f t="shared" si="6"/>
        <v>0</v>
      </c>
      <c r="I145" s="44"/>
      <c r="J145" s="117"/>
      <c r="K145" s="117"/>
      <c r="O145" s="115"/>
      <c r="P145" s="118"/>
      <c r="Q145" s="118"/>
      <c r="R145" s="108"/>
    </row>
    <row r="146" spans="1:255" s="105" customFormat="1" ht="15" customHeight="1" outlineLevel="2" x14ac:dyDescent="0.25">
      <c r="B146" s="104"/>
      <c r="C146" s="104"/>
      <c r="D146" s="101"/>
      <c r="E146" s="101"/>
      <c r="F146" s="101"/>
      <c r="G146" s="101"/>
      <c r="H146" s="101"/>
      <c r="J146" s="117"/>
      <c r="K146" s="117"/>
      <c r="O146" s="115"/>
      <c r="P146" s="118"/>
      <c r="Q146" s="118"/>
      <c r="R146" s="108"/>
    </row>
    <row r="147" spans="1:255" s="42" customFormat="1" ht="15" customHeight="1" x14ac:dyDescent="0.25">
      <c r="A147" s="79"/>
      <c r="B147" s="80"/>
      <c r="C147" s="80">
        <f>C123+0.01</f>
        <v>4.0199999999999996</v>
      </c>
      <c r="D147" s="162" t="s">
        <v>47</v>
      </c>
      <c r="E147" s="162"/>
      <c r="F147" s="162"/>
      <c r="G147" s="162"/>
      <c r="H147" s="42">
        <f>ROUND(H149,0)</f>
        <v>61</v>
      </c>
      <c r="I147" s="99" t="s">
        <v>8</v>
      </c>
      <c r="J147" s="87">
        <v>50</v>
      </c>
      <c r="K147" s="87">
        <v>11.641221374045802</v>
      </c>
      <c r="L147" s="151"/>
      <c r="M147" s="151">
        <f>ROUND(+H147*J147,0)</f>
        <v>3050</v>
      </c>
      <c r="N147" s="151"/>
      <c r="O147" s="82" t="s">
        <v>15</v>
      </c>
      <c r="P147" s="83">
        <f>M147</f>
        <v>3050</v>
      </c>
      <c r="Q147" s="83"/>
      <c r="R147" s="153"/>
    </row>
    <row r="148" spans="1:255" s="42" customFormat="1" ht="15" customHeight="1" x14ac:dyDescent="0.25">
      <c r="A148" s="79"/>
      <c r="B148" s="80"/>
      <c r="C148" s="80"/>
      <c r="K148" s="121"/>
      <c r="O148" s="82"/>
      <c r="P148" s="83"/>
      <c r="Q148" s="83"/>
      <c r="R148" s="84"/>
    </row>
    <row r="149" spans="1:255" s="42" customFormat="1" ht="15" customHeight="1" outlineLevel="2" x14ac:dyDescent="0.25">
      <c r="A149" s="79"/>
      <c r="B149" s="80"/>
      <c r="C149" s="80"/>
      <c r="D149" s="119"/>
      <c r="E149" s="101"/>
      <c r="F149" s="101"/>
      <c r="G149" s="101"/>
      <c r="H149" s="101">
        <f>SUM(H151:H154)</f>
        <v>60.52</v>
      </c>
      <c r="K149" s="87"/>
      <c r="O149" s="82"/>
      <c r="P149" s="96"/>
      <c r="Q149" s="96"/>
      <c r="R149" s="84"/>
    </row>
    <row r="150" spans="1:255" s="105" customFormat="1" ht="15" customHeight="1" outlineLevel="2" x14ac:dyDescent="0.25">
      <c r="A150" s="79"/>
      <c r="B150" s="80"/>
      <c r="C150" s="80"/>
      <c r="D150" s="101"/>
      <c r="E150" s="101"/>
      <c r="F150" s="101"/>
      <c r="G150" s="101"/>
      <c r="H150" s="101"/>
      <c r="I150" s="42"/>
      <c r="J150" s="42"/>
      <c r="K150" s="87"/>
      <c r="L150" s="42"/>
      <c r="M150" s="42"/>
      <c r="N150" s="42"/>
      <c r="O150" s="82"/>
      <c r="P150" s="96"/>
      <c r="Q150" s="96"/>
      <c r="R150" s="84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  <c r="DL150" s="42"/>
      <c r="DM150" s="42"/>
      <c r="DN150" s="42"/>
      <c r="DO150" s="42"/>
      <c r="DP150" s="42"/>
      <c r="DQ150" s="42"/>
      <c r="DR150" s="42"/>
      <c r="DS150" s="42"/>
      <c r="DT150" s="42"/>
      <c r="DU150" s="42"/>
      <c r="DV150" s="42"/>
      <c r="DW150" s="42"/>
      <c r="DX150" s="42"/>
      <c r="DY150" s="42"/>
      <c r="DZ150" s="42"/>
      <c r="EA150" s="42"/>
      <c r="EB150" s="42"/>
      <c r="EC150" s="42"/>
      <c r="ED150" s="42"/>
      <c r="EE150" s="42"/>
      <c r="EF150" s="42"/>
      <c r="EG150" s="42"/>
      <c r="EH150" s="42"/>
      <c r="EI150" s="42"/>
      <c r="EJ150" s="42"/>
      <c r="EK150" s="42"/>
      <c r="EL150" s="42"/>
      <c r="EM150" s="42"/>
      <c r="EN150" s="42"/>
      <c r="EO150" s="42"/>
      <c r="EP150" s="42"/>
      <c r="EQ150" s="42"/>
      <c r="ER150" s="42"/>
      <c r="ES150" s="42"/>
      <c r="ET150" s="42"/>
      <c r="EU150" s="42"/>
      <c r="EV150" s="42"/>
      <c r="EW150" s="42"/>
      <c r="EX150" s="42"/>
      <c r="EY150" s="42"/>
      <c r="EZ150" s="42"/>
      <c r="FA150" s="42"/>
      <c r="FB150" s="42"/>
      <c r="FC150" s="42"/>
      <c r="FD150" s="42"/>
      <c r="FE150" s="42"/>
      <c r="FF150" s="42"/>
      <c r="FG150" s="42"/>
      <c r="FH150" s="42"/>
      <c r="FI150" s="42"/>
      <c r="FJ150" s="42"/>
      <c r="FK150" s="42"/>
      <c r="FL150" s="42"/>
      <c r="FM150" s="42"/>
      <c r="FN150" s="42"/>
      <c r="FO150" s="42"/>
      <c r="FP150" s="42"/>
      <c r="FQ150" s="42"/>
      <c r="FR150" s="42"/>
      <c r="FS150" s="42"/>
      <c r="FT150" s="42"/>
      <c r="FU150" s="42"/>
      <c r="FV150" s="42"/>
      <c r="FW150" s="42"/>
      <c r="FX150" s="42"/>
      <c r="FY150" s="42"/>
      <c r="FZ150" s="42"/>
      <c r="GA150" s="42"/>
      <c r="GB150" s="42"/>
      <c r="GC150" s="42"/>
      <c r="GD150" s="42"/>
      <c r="GE150" s="42"/>
      <c r="GF150" s="42"/>
      <c r="GG150" s="42"/>
      <c r="GH150" s="42"/>
      <c r="GI150" s="42"/>
      <c r="GJ150" s="42"/>
      <c r="GK150" s="42"/>
      <c r="GL150" s="42"/>
      <c r="GM150" s="42"/>
      <c r="GN150" s="42"/>
      <c r="GO150" s="42"/>
      <c r="GP150" s="42"/>
      <c r="GQ150" s="42"/>
      <c r="GR150" s="42"/>
      <c r="GS150" s="42"/>
      <c r="GT150" s="42"/>
      <c r="GU150" s="42"/>
      <c r="GV150" s="42"/>
      <c r="GW150" s="42"/>
      <c r="GX150" s="42"/>
      <c r="GY150" s="42"/>
      <c r="GZ150" s="42"/>
      <c r="HA150" s="42"/>
      <c r="HB150" s="42"/>
      <c r="HC150" s="42"/>
      <c r="HD150" s="42"/>
      <c r="HE150" s="42"/>
      <c r="HF150" s="42"/>
      <c r="HG150" s="42"/>
      <c r="HH150" s="42"/>
      <c r="HI150" s="42"/>
      <c r="HJ150" s="42"/>
      <c r="HK150" s="42"/>
      <c r="HL150" s="42"/>
      <c r="HM150" s="42"/>
      <c r="HN150" s="42"/>
      <c r="HO150" s="42"/>
      <c r="HP150" s="42"/>
      <c r="HQ150" s="42"/>
      <c r="HR150" s="42"/>
      <c r="HS150" s="42"/>
      <c r="HT150" s="42"/>
      <c r="HU150" s="42"/>
      <c r="HV150" s="42"/>
      <c r="HW150" s="42"/>
      <c r="HX150" s="42"/>
      <c r="HY150" s="42"/>
      <c r="HZ150" s="42"/>
      <c r="IA150" s="42"/>
      <c r="IB150" s="42"/>
      <c r="IC150" s="42"/>
      <c r="ID150" s="42"/>
      <c r="IE150" s="42"/>
      <c r="IF150" s="42"/>
      <c r="IG150" s="42"/>
      <c r="IH150" s="42"/>
      <c r="II150" s="42"/>
      <c r="IJ150" s="42"/>
      <c r="IK150" s="42"/>
      <c r="IL150" s="42"/>
      <c r="IM150" s="42"/>
      <c r="IN150" s="42"/>
      <c r="IO150" s="42"/>
      <c r="IP150" s="42"/>
      <c r="IQ150" s="42"/>
      <c r="IR150" s="42"/>
      <c r="IS150" s="42"/>
      <c r="IT150" s="42"/>
      <c r="IU150" s="42"/>
    </row>
    <row r="151" spans="1:255" s="105" customFormat="1" ht="15" customHeight="1" outlineLevel="2" x14ac:dyDescent="0.25">
      <c r="B151" s="104"/>
      <c r="C151" s="104"/>
      <c r="D151" s="101">
        <v>1</v>
      </c>
      <c r="E151" s="101">
        <v>60.52</v>
      </c>
      <c r="F151" s="101">
        <v>1</v>
      </c>
      <c r="G151" s="101">
        <v>1</v>
      </c>
      <c r="H151" s="101">
        <f t="shared" ref="H151:H153" si="7">D151*E151*F151*G151</f>
        <v>60.52</v>
      </c>
      <c r="I151" s="44"/>
      <c r="J151" s="117"/>
      <c r="K151" s="117"/>
      <c r="O151" s="115"/>
      <c r="P151" s="118"/>
      <c r="Q151" s="118"/>
      <c r="R151" s="108"/>
    </row>
    <row r="152" spans="1:255" s="105" customFormat="1" ht="15" customHeight="1" outlineLevel="2" x14ac:dyDescent="0.25">
      <c r="B152" s="104"/>
      <c r="C152" s="104"/>
      <c r="D152" s="101">
        <v>1</v>
      </c>
      <c r="E152" s="101">
        <f>[2]Areas!G51</f>
        <v>0</v>
      </c>
      <c r="F152" s="101">
        <v>1</v>
      </c>
      <c r="G152" s="101">
        <v>1</v>
      </c>
      <c r="H152" s="101">
        <f t="shared" si="7"/>
        <v>0</v>
      </c>
      <c r="I152" s="44"/>
      <c r="J152" s="117"/>
      <c r="K152" s="117"/>
      <c r="O152" s="115"/>
      <c r="P152" s="118"/>
      <c r="Q152" s="118"/>
      <c r="R152" s="108"/>
    </row>
    <row r="153" spans="1:255" s="105" customFormat="1" ht="15" customHeight="1" outlineLevel="2" x14ac:dyDescent="0.25">
      <c r="B153" s="104"/>
      <c r="C153" s="104"/>
      <c r="D153" s="101">
        <v>1</v>
      </c>
      <c r="E153" s="101">
        <v>0</v>
      </c>
      <c r="F153" s="101">
        <v>1</v>
      </c>
      <c r="G153" s="101">
        <v>1</v>
      </c>
      <c r="H153" s="101">
        <f t="shared" si="7"/>
        <v>0</v>
      </c>
      <c r="I153" s="44"/>
      <c r="J153" s="117"/>
      <c r="K153" s="117"/>
      <c r="O153" s="115"/>
      <c r="P153" s="118"/>
      <c r="Q153" s="118"/>
      <c r="R153" s="108"/>
    </row>
    <row r="154" spans="1:255" s="105" customFormat="1" ht="15" customHeight="1" outlineLevel="2" x14ac:dyDescent="0.25">
      <c r="B154" s="104"/>
      <c r="C154" s="104"/>
      <c r="D154" s="101"/>
      <c r="E154" s="101"/>
      <c r="F154" s="101"/>
      <c r="G154" s="101"/>
      <c r="H154" s="101"/>
      <c r="J154" s="117"/>
      <c r="K154" s="117"/>
      <c r="O154" s="115"/>
      <c r="P154" s="118"/>
      <c r="Q154" s="118"/>
      <c r="R154" s="108"/>
    </row>
    <row r="155" spans="1:255" s="42" customFormat="1" x14ac:dyDescent="0.25">
      <c r="A155" s="79"/>
      <c r="B155" s="80"/>
      <c r="C155" s="80">
        <f>C147+0.01</f>
        <v>4.0299999999999994</v>
      </c>
      <c r="D155" s="164" t="s">
        <v>48</v>
      </c>
      <c r="E155" s="163"/>
      <c r="F155" s="163"/>
      <c r="G155" s="163"/>
      <c r="H155" s="42">
        <f>ROUND(H157,0)</f>
        <v>210</v>
      </c>
      <c r="I155" s="99" t="s">
        <v>8</v>
      </c>
      <c r="J155" s="154">
        <f>200+210</f>
        <v>410</v>
      </c>
      <c r="K155" s="87">
        <v>328.62595419847327</v>
      </c>
      <c r="L155" s="151"/>
      <c r="M155" s="151">
        <f>ROUND(+H155*J155,0)</f>
        <v>86100</v>
      </c>
      <c r="N155" s="151"/>
      <c r="O155" s="82" t="s">
        <v>49</v>
      </c>
      <c r="P155" s="83"/>
      <c r="Q155" s="83">
        <f>M155</f>
        <v>86100</v>
      </c>
      <c r="R155" s="153"/>
    </row>
    <row r="156" spans="1:255" s="42" customFormat="1" ht="15" customHeight="1" x14ac:dyDescent="0.25">
      <c r="A156" s="79"/>
      <c r="B156" s="80"/>
      <c r="C156" s="80"/>
      <c r="K156" s="121"/>
      <c r="O156" s="82"/>
      <c r="P156" s="83"/>
      <c r="Q156" s="83"/>
      <c r="R156" s="84"/>
    </row>
    <row r="157" spans="1:255" s="42" customFormat="1" ht="15" customHeight="1" outlineLevel="2" x14ac:dyDescent="0.25">
      <c r="A157" s="79"/>
      <c r="B157" s="80"/>
      <c r="C157" s="80"/>
      <c r="D157" s="119"/>
      <c r="E157" s="101"/>
      <c r="F157" s="101"/>
      <c r="G157" s="101"/>
      <c r="H157" s="101">
        <f>SUM(H159:H164)</f>
        <v>209.78700000000001</v>
      </c>
      <c r="K157" s="87"/>
      <c r="O157" s="82"/>
      <c r="P157" s="96"/>
      <c r="Q157" s="96"/>
      <c r="R157" s="84"/>
    </row>
    <row r="158" spans="1:255" s="105" customFormat="1" ht="15" customHeight="1" outlineLevel="2" x14ac:dyDescent="0.25">
      <c r="A158" s="79"/>
      <c r="B158" s="80"/>
      <c r="C158" s="80"/>
      <c r="D158" s="101"/>
      <c r="E158" s="101"/>
      <c r="F158" s="101"/>
      <c r="G158" s="101"/>
      <c r="H158" s="101"/>
      <c r="I158" s="42"/>
      <c r="J158" s="42"/>
      <c r="K158" s="87"/>
      <c r="L158" s="42"/>
      <c r="M158" s="42"/>
      <c r="N158" s="42"/>
      <c r="O158" s="82"/>
      <c r="P158" s="96"/>
      <c r="Q158" s="96"/>
      <c r="R158" s="84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CG158" s="42"/>
      <c r="CH158" s="42"/>
      <c r="CI158" s="42"/>
      <c r="CJ158" s="42"/>
      <c r="CK158" s="42"/>
      <c r="CL158" s="42"/>
      <c r="CM158" s="42"/>
      <c r="CN158" s="42"/>
      <c r="CO158" s="42"/>
      <c r="CP158" s="42"/>
      <c r="CQ158" s="42"/>
      <c r="CR158" s="42"/>
      <c r="CS158" s="42"/>
      <c r="CT158" s="42"/>
      <c r="CU158" s="42"/>
      <c r="CV158" s="42"/>
      <c r="CW158" s="42"/>
      <c r="CX158" s="42"/>
      <c r="CY158" s="42"/>
      <c r="CZ158" s="42"/>
      <c r="DA158" s="42"/>
      <c r="DB158" s="42"/>
      <c r="DC158" s="42"/>
      <c r="DD158" s="42"/>
      <c r="DE158" s="42"/>
      <c r="DF158" s="42"/>
      <c r="DG158" s="42"/>
      <c r="DH158" s="42"/>
      <c r="DI158" s="42"/>
      <c r="DJ158" s="42"/>
      <c r="DK158" s="42"/>
      <c r="DL158" s="42"/>
      <c r="DM158" s="42"/>
      <c r="DN158" s="42"/>
      <c r="DO158" s="42"/>
      <c r="DP158" s="42"/>
      <c r="DQ158" s="42"/>
      <c r="DR158" s="42"/>
      <c r="DS158" s="42"/>
      <c r="DT158" s="42"/>
      <c r="DU158" s="42"/>
      <c r="DV158" s="42"/>
      <c r="DW158" s="42"/>
      <c r="DX158" s="42"/>
      <c r="DY158" s="42"/>
      <c r="DZ158" s="42"/>
      <c r="EA158" s="42"/>
      <c r="EB158" s="42"/>
      <c r="EC158" s="42"/>
      <c r="ED158" s="42"/>
      <c r="EE158" s="42"/>
      <c r="EF158" s="42"/>
      <c r="EG158" s="42"/>
      <c r="EH158" s="42"/>
      <c r="EI158" s="42"/>
      <c r="EJ158" s="42"/>
      <c r="EK158" s="42"/>
      <c r="EL158" s="42"/>
      <c r="EM158" s="42"/>
      <c r="EN158" s="42"/>
      <c r="EO158" s="42"/>
      <c r="EP158" s="42"/>
      <c r="EQ158" s="42"/>
      <c r="ER158" s="42"/>
      <c r="ES158" s="42"/>
      <c r="ET158" s="42"/>
      <c r="EU158" s="42"/>
      <c r="EV158" s="42"/>
      <c r="EW158" s="42"/>
      <c r="EX158" s="42"/>
      <c r="EY158" s="42"/>
      <c r="EZ158" s="42"/>
      <c r="FA158" s="42"/>
      <c r="FB158" s="42"/>
      <c r="FC158" s="42"/>
      <c r="FD158" s="42"/>
      <c r="FE158" s="42"/>
      <c r="FF158" s="42"/>
      <c r="FG158" s="42"/>
      <c r="FH158" s="42"/>
      <c r="FI158" s="42"/>
      <c r="FJ158" s="42"/>
      <c r="FK158" s="42"/>
      <c r="FL158" s="42"/>
      <c r="FM158" s="42"/>
      <c r="FN158" s="42"/>
      <c r="FO158" s="42"/>
      <c r="FP158" s="42"/>
      <c r="FQ158" s="42"/>
      <c r="FR158" s="42"/>
      <c r="FS158" s="42"/>
      <c r="FT158" s="42"/>
      <c r="FU158" s="42"/>
      <c r="FV158" s="42"/>
      <c r="FW158" s="42"/>
      <c r="FX158" s="42"/>
      <c r="FY158" s="42"/>
      <c r="FZ158" s="42"/>
      <c r="GA158" s="42"/>
      <c r="GB158" s="42"/>
      <c r="GC158" s="42"/>
      <c r="GD158" s="42"/>
      <c r="GE158" s="42"/>
      <c r="GF158" s="42"/>
      <c r="GG158" s="42"/>
      <c r="GH158" s="42"/>
      <c r="GI158" s="42"/>
      <c r="GJ158" s="42"/>
      <c r="GK158" s="42"/>
      <c r="GL158" s="42"/>
      <c r="GM158" s="42"/>
      <c r="GN158" s="42"/>
      <c r="GO158" s="42"/>
      <c r="GP158" s="42"/>
      <c r="GQ158" s="42"/>
      <c r="GR158" s="42"/>
      <c r="GS158" s="42"/>
      <c r="GT158" s="42"/>
      <c r="GU158" s="42"/>
      <c r="GV158" s="42"/>
      <c r="GW158" s="42"/>
      <c r="GX158" s="42"/>
      <c r="GY158" s="42"/>
      <c r="GZ158" s="42"/>
      <c r="HA158" s="42"/>
      <c r="HB158" s="42"/>
      <c r="HC158" s="42"/>
      <c r="HD158" s="42"/>
      <c r="HE158" s="42"/>
      <c r="HF158" s="42"/>
      <c r="HG158" s="42"/>
      <c r="HH158" s="42"/>
      <c r="HI158" s="42"/>
      <c r="HJ158" s="42"/>
      <c r="HK158" s="42"/>
      <c r="HL158" s="42"/>
      <c r="HM158" s="42"/>
      <c r="HN158" s="42"/>
      <c r="HO158" s="42"/>
      <c r="HP158" s="42"/>
      <c r="HQ158" s="42"/>
      <c r="HR158" s="42"/>
      <c r="HS158" s="42"/>
      <c r="HT158" s="42"/>
      <c r="HU158" s="42"/>
      <c r="HV158" s="42"/>
      <c r="HW158" s="42"/>
      <c r="HX158" s="42"/>
      <c r="HY158" s="42"/>
      <c r="HZ158" s="42"/>
      <c r="IA158" s="42"/>
      <c r="IB158" s="42"/>
      <c r="IC158" s="42"/>
      <c r="ID158" s="42"/>
      <c r="IE158" s="42"/>
      <c r="IF158" s="42"/>
      <c r="IG158" s="42"/>
      <c r="IH158" s="42"/>
      <c r="II158" s="42"/>
      <c r="IJ158" s="42"/>
      <c r="IK158" s="42"/>
      <c r="IL158" s="42"/>
      <c r="IM158" s="42"/>
      <c r="IN158" s="42"/>
      <c r="IO158" s="42"/>
      <c r="IP158" s="42"/>
      <c r="IQ158" s="42"/>
      <c r="IR158" s="42"/>
      <c r="IS158" s="42"/>
      <c r="IT158" s="42"/>
      <c r="IU158" s="42"/>
    </row>
    <row r="159" spans="1:255" s="42" customFormat="1" ht="15" customHeight="1" outlineLevel="2" x14ac:dyDescent="0.35">
      <c r="A159" s="79"/>
      <c r="B159" s="80"/>
      <c r="C159" s="80"/>
      <c r="D159" s="101">
        <v>1</v>
      </c>
      <c r="E159" s="101">
        <f>H125+H133+H141+H149</f>
        <v>209.78700000000001</v>
      </c>
      <c r="F159" s="101">
        <v>1</v>
      </c>
      <c r="G159" s="101">
        <v>1</v>
      </c>
      <c r="H159" s="101">
        <f t="shared" ref="H159:H163" si="8">D159*E159*F159*G159</f>
        <v>209.78700000000001</v>
      </c>
      <c r="I159" s="122"/>
      <c r="J159" s="87"/>
      <c r="K159" s="87"/>
      <c r="O159" s="82"/>
      <c r="P159" s="96"/>
      <c r="Q159" s="96"/>
      <c r="R159" s="84"/>
    </row>
    <row r="160" spans="1:255" s="42" customFormat="1" ht="15" customHeight="1" outlineLevel="2" x14ac:dyDescent="0.35">
      <c r="A160" s="79"/>
      <c r="B160" s="80"/>
      <c r="C160" s="80"/>
      <c r="D160" s="101">
        <v>1</v>
      </c>
      <c r="E160" s="101">
        <v>0</v>
      </c>
      <c r="F160" s="101">
        <v>1</v>
      </c>
      <c r="G160" s="101">
        <v>1</v>
      </c>
      <c r="H160" s="101">
        <f t="shared" si="8"/>
        <v>0</v>
      </c>
      <c r="I160" s="122"/>
      <c r="J160" s="87"/>
      <c r="K160" s="87"/>
      <c r="O160" s="82"/>
      <c r="P160" s="96"/>
      <c r="Q160" s="96"/>
      <c r="R160" s="84"/>
    </row>
    <row r="161" spans="1:18" s="42" customFormat="1" ht="15" customHeight="1" outlineLevel="2" x14ac:dyDescent="0.35">
      <c r="A161" s="79"/>
      <c r="B161" s="80"/>
      <c r="C161" s="80"/>
      <c r="D161" s="101">
        <v>1</v>
      </c>
      <c r="E161" s="101">
        <v>0</v>
      </c>
      <c r="F161" s="101">
        <v>1</v>
      </c>
      <c r="G161" s="101">
        <v>1</v>
      </c>
      <c r="H161" s="101">
        <f t="shared" si="8"/>
        <v>0</v>
      </c>
      <c r="I161" s="122"/>
      <c r="J161" s="87"/>
      <c r="K161" s="87"/>
      <c r="O161" s="82"/>
      <c r="P161" s="96"/>
      <c r="Q161" s="96"/>
      <c r="R161" s="84"/>
    </row>
    <row r="162" spans="1:18" s="42" customFormat="1" ht="15" customHeight="1" outlineLevel="2" x14ac:dyDescent="0.35">
      <c r="A162" s="79"/>
      <c r="B162" s="80"/>
      <c r="C162" s="80"/>
      <c r="D162" s="101">
        <v>1</v>
      </c>
      <c r="E162" s="101"/>
      <c r="F162" s="101">
        <v>1</v>
      </c>
      <c r="G162" s="101">
        <v>1</v>
      </c>
      <c r="H162" s="101">
        <f t="shared" si="8"/>
        <v>0</v>
      </c>
      <c r="I162" s="122"/>
      <c r="J162" s="87"/>
      <c r="K162" s="87"/>
      <c r="O162" s="82"/>
      <c r="P162" s="96"/>
      <c r="Q162" s="96"/>
      <c r="R162" s="84"/>
    </row>
    <row r="163" spans="1:18" s="42" customFormat="1" ht="15" customHeight="1" outlineLevel="2" x14ac:dyDescent="0.25">
      <c r="A163" s="79"/>
      <c r="B163" s="80"/>
      <c r="C163" s="80"/>
      <c r="D163" s="101">
        <v>1</v>
      </c>
      <c r="E163" s="101"/>
      <c r="F163" s="101">
        <v>1</v>
      </c>
      <c r="G163" s="101">
        <v>1</v>
      </c>
      <c r="H163" s="101">
        <f t="shared" si="8"/>
        <v>0</v>
      </c>
      <c r="J163" s="87"/>
      <c r="K163" s="87"/>
      <c r="O163" s="82"/>
      <c r="P163" s="96"/>
      <c r="Q163" s="96"/>
      <c r="R163" s="84"/>
    </row>
    <row r="164" spans="1:18" s="105" customFormat="1" ht="15" customHeight="1" outlineLevel="2" x14ac:dyDescent="0.35">
      <c r="B164" s="104"/>
      <c r="C164" s="104"/>
      <c r="D164" s="101"/>
      <c r="E164" s="101"/>
      <c r="F164" s="101"/>
      <c r="G164" s="101"/>
      <c r="H164" s="101"/>
      <c r="I164" s="122"/>
      <c r="J164" s="117"/>
      <c r="K164" s="117"/>
      <c r="O164" s="115"/>
      <c r="P164" s="118"/>
      <c r="Q164" s="118"/>
      <c r="R164" s="108"/>
    </row>
    <row r="165" spans="1:18" s="42" customFormat="1" ht="30" customHeight="1" x14ac:dyDescent="0.25">
      <c r="A165" s="79"/>
      <c r="B165" s="80" t="s">
        <v>19</v>
      </c>
      <c r="C165" s="80">
        <f>C155+0.01</f>
        <v>4.0399999999999991</v>
      </c>
      <c r="D165" s="162" t="s">
        <v>28</v>
      </c>
      <c r="E165" s="162"/>
      <c r="F165" s="162"/>
      <c r="G165" s="162"/>
      <c r="H165" s="41">
        <v>0.03</v>
      </c>
      <c r="I165" s="99" t="s">
        <v>19</v>
      </c>
      <c r="J165" s="42">
        <f>SUM(Q120:Q165)</f>
        <v>86100</v>
      </c>
      <c r="K165" s="87">
        <v>9.8587786259541978</v>
      </c>
      <c r="M165" s="42">
        <f>ROUND(+H165*J165,0)</f>
        <v>2583</v>
      </c>
      <c r="O165" s="82" t="s">
        <v>29</v>
      </c>
      <c r="P165" s="83">
        <f>M165</f>
        <v>2583</v>
      </c>
      <c r="Q165" s="83"/>
      <c r="R165" s="84"/>
    </row>
    <row r="166" spans="1:18" s="42" customFormat="1" ht="15" customHeight="1" x14ac:dyDescent="0.25">
      <c r="A166" s="79"/>
      <c r="B166" s="80"/>
      <c r="C166" s="80"/>
      <c r="D166" s="98"/>
      <c r="E166" s="98"/>
      <c r="F166" s="98"/>
      <c r="G166" s="98"/>
      <c r="H166" s="41"/>
      <c r="K166" s="87"/>
      <c r="O166" s="82"/>
      <c r="P166" s="83"/>
      <c r="Q166" s="83"/>
      <c r="R166" s="84"/>
    </row>
    <row r="167" spans="1:18" s="42" customFormat="1" ht="15" customHeight="1" x14ac:dyDescent="0.25">
      <c r="A167" s="79"/>
      <c r="B167" s="80"/>
      <c r="C167" s="80" t="s">
        <v>9</v>
      </c>
      <c r="H167" s="88"/>
      <c r="I167" s="88"/>
      <c r="J167" s="88"/>
      <c r="K167" s="88"/>
      <c r="L167" s="88"/>
      <c r="M167" s="88"/>
      <c r="O167" s="82"/>
      <c r="P167" s="83"/>
      <c r="Q167" s="83"/>
      <c r="R167" s="84"/>
    </row>
    <row r="168" spans="1:18" s="42" customFormat="1" ht="15" customHeight="1" thickBot="1" x14ac:dyDescent="0.3">
      <c r="A168" s="79"/>
      <c r="B168" s="80"/>
      <c r="C168" s="80"/>
      <c r="D168" s="161" t="str">
        <f>CONCATENATE("Subtotal ",D121)</f>
        <v>Subtotal Floor Finishes</v>
      </c>
      <c r="E168" s="160"/>
      <c r="F168" s="160"/>
      <c r="G168" s="160"/>
      <c r="H168" s="89">
        <f>+H155+H147+H139+H131+H123</f>
        <v>420</v>
      </c>
      <c r="I168" s="90" t="s">
        <v>8</v>
      </c>
      <c r="J168" s="91">
        <f>M168/H168</f>
        <v>257.43571428571431</v>
      </c>
      <c r="K168" s="91">
        <v>412.68</v>
      </c>
      <c r="L168" s="89"/>
      <c r="M168" s="89">
        <f>SUM(M121:M167)</f>
        <v>108123</v>
      </c>
      <c r="N168" s="42">
        <f>R168</f>
        <v>108123</v>
      </c>
      <c r="O168" s="92"/>
      <c r="P168" s="93"/>
      <c r="Q168" s="93"/>
      <c r="R168" s="94">
        <f>SUM(P120:P168)+SUM(Q120:Q168)</f>
        <v>108123</v>
      </c>
    </row>
    <row r="169" spans="1:18" s="42" customFormat="1" ht="15" thickTop="1" x14ac:dyDescent="0.25">
      <c r="A169" s="79"/>
      <c r="B169" s="80"/>
      <c r="C169" s="80"/>
      <c r="J169" s="87"/>
      <c r="K169" s="87"/>
      <c r="O169" s="82"/>
      <c r="P169" s="83"/>
      <c r="Q169" s="83"/>
      <c r="R169" s="84"/>
    </row>
    <row r="170" spans="1:18" s="42" customFormat="1" ht="15" customHeight="1" x14ac:dyDescent="0.25">
      <c r="A170" s="79"/>
      <c r="B170" s="80" t="s">
        <v>19</v>
      </c>
      <c r="C170" s="86">
        <v>5</v>
      </c>
      <c r="D170" s="159" t="s">
        <v>50</v>
      </c>
      <c r="E170" s="160"/>
      <c r="F170" s="160"/>
      <c r="G170" s="160"/>
      <c r="O170" s="82"/>
      <c r="P170" s="83"/>
      <c r="Q170" s="83"/>
      <c r="R170" s="84"/>
    </row>
    <row r="171" spans="1:18" s="42" customFormat="1" ht="15" customHeight="1" x14ac:dyDescent="0.25">
      <c r="A171" s="79"/>
      <c r="B171" s="80"/>
      <c r="C171" s="86"/>
      <c r="D171" s="85"/>
      <c r="O171" s="82"/>
      <c r="P171" s="83"/>
      <c r="Q171" s="83"/>
      <c r="R171" s="84"/>
    </row>
    <row r="172" spans="1:18" s="42" customFormat="1" ht="15" customHeight="1" x14ac:dyDescent="0.25">
      <c r="A172" s="79"/>
      <c r="B172" s="80" t="s">
        <v>19</v>
      </c>
      <c r="C172" s="80">
        <f>C170+0.01</f>
        <v>5.01</v>
      </c>
      <c r="D172" s="162" t="s">
        <v>51</v>
      </c>
      <c r="E172" s="162"/>
      <c r="F172" s="162"/>
      <c r="G172" s="162"/>
      <c r="H172" s="42">
        <f>ROUND(SUM(H174),0)</f>
        <v>234</v>
      </c>
      <c r="I172" s="99" t="s">
        <v>8</v>
      </c>
      <c r="J172" s="87">
        <v>110</v>
      </c>
      <c r="K172" s="87">
        <v>196.4885496183206</v>
      </c>
      <c r="M172" s="42">
        <f>ROUND(+H172*J172,0)</f>
        <v>25740</v>
      </c>
      <c r="O172" s="82" t="s">
        <v>15</v>
      </c>
      <c r="P172" s="83">
        <f>M172</f>
        <v>25740</v>
      </c>
      <c r="Q172" s="83"/>
      <c r="R172" s="84"/>
    </row>
    <row r="173" spans="1:18" s="42" customFormat="1" ht="15" customHeight="1" x14ac:dyDescent="0.25">
      <c r="A173" s="79"/>
      <c r="B173" s="80"/>
      <c r="C173" s="80"/>
      <c r="D173" s="101"/>
      <c r="E173" s="101"/>
      <c r="F173" s="101"/>
      <c r="G173" s="101"/>
      <c r="H173" s="101"/>
      <c r="O173" s="82"/>
      <c r="P173" s="96"/>
      <c r="Q173" s="96"/>
      <c r="R173" s="84"/>
    </row>
    <row r="174" spans="1:18" s="42" customFormat="1" ht="15" customHeight="1" outlineLevel="2" x14ac:dyDescent="0.25">
      <c r="A174" s="79"/>
      <c r="B174" s="80"/>
      <c r="C174" s="80"/>
      <c r="D174" s="101"/>
      <c r="E174" s="101"/>
      <c r="F174" s="101"/>
      <c r="G174" s="101"/>
      <c r="H174" s="101">
        <f>SUM(H175:H179)</f>
        <v>234.15</v>
      </c>
      <c r="O174" s="82"/>
      <c r="P174" s="96"/>
      <c r="Q174" s="96"/>
      <c r="R174" s="84"/>
    </row>
    <row r="175" spans="1:18" s="42" customFormat="1" ht="15" customHeight="1" outlineLevel="2" x14ac:dyDescent="0.25">
      <c r="A175" s="79"/>
      <c r="B175" s="80"/>
      <c r="C175" s="80"/>
      <c r="D175" s="101"/>
      <c r="E175" s="101"/>
      <c r="F175" s="101"/>
      <c r="G175" s="101"/>
      <c r="H175" s="101"/>
      <c r="O175" s="82"/>
      <c r="P175" s="96"/>
      <c r="Q175" s="96"/>
      <c r="R175" s="84"/>
    </row>
    <row r="176" spans="1:18" s="42" customFormat="1" ht="15" customHeight="1" outlineLevel="2" x14ac:dyDescent="0.25">
      <c r="A176" s="79"/>
      <c r="B176" s="80"/>
      <c r="C176" s="80"/>
      <c r="D176" s="101">
        <v>1</v>
      </c>
      <c r="E176" s="101">
        <f>H97</f>
        <v>227.88</v>
      </c>
      <c r="F176" s="101">
        <v>1</v>
      </c>
      <c r="G176" s="101">
        <v>1</v>
      </c>
      <c r="H176" s="101">
        <f t="shared" ref="H176:H179" si="9">D176*E176*F176*G176</f>
        <v>227.88</v>
      </c>
      <c r="I176" s="44"/>
      <c r="J176" s="87"/>
      <c r="K176" s="87"/>
      <c r="O176" s="82"/>
      <c r="P176" s="96"/>
      <c r="Q176" s="96"/>
      <c r="R176" s="84"/>
    </row>
    <row r="177" spans="1:18" s="42" customFormat="1" ht="15" customHeight="1" outlineLevel="2" x14ac:dyDescent="0.25">
      <c r="A177" s="79"/>
      <c r="B177" s="80"/>
      <c r="C177" s="80"/>
      <c r="D177" s="101">
        <v>1</v>
      </c>
      <c r="E177" s="101">
        <f>H108</f>
        <v>6.27</v>
      </c>
      <c r="F177" s="101">
        <v>1</v>
      </c>
      <c r="G177" s="101">
        <v>1</v>
      </c>
      <c r="H177" s="101">
        <f t="shared" si="9"/>
        <v>6.27</v>
      </c>
      <c r="I177" s="44"/>
      <c r="J177" s="87"/>
      <c r="K177" s="87"/>
      <c r="O177" s="82"/>
      <c r="P177" s="96"/>
      <c r="Q177" s="96"/>
      <c r="R177" s="84"/>
    </row>
    <row r="178" spans="1:18" s="42" customFormat="1" ht="15" customHeight="1" outlineLevel="2" x14ac:dyDescent="0.25">
      <c r="A178" s="79"/>
      <c r="B178" s="80"/>
      <c r="C178" s="80"/>
      <c r="D178" s="101">
        <v>1</v>
      </c>
      <c r="E178" s="101">
        <v>0</v>
      </c>
      <c r="F178" s="101">
        <v>1</v>
      </c>
      <c r="G178" s="101">
        <v>1</v>
      </c>
      <c r="H178" s="101">
        <f t="shared" si="9"/>
        <v>0</v>
      </c>
      <c r="I178" s="44"/>
      <c r="J178" s="87"/>
      <c r="K178" s="87"/>
      <c r="O178" s="82"/>
      <c r="P178" s="96"/>
      <c r="Q178" s="96"/>
      <c r="R178" s="84"/>
    </row>
    <row r="179" spans="1:18" s="42" customFormat="1" ht="15" customHeight="1" outlineLevel="2" x14ac:dyDescent="0.25">
      <c r="A179" s="79"/>
      <c r="B179" s="80"/>
      <c r="C179" s="80"/>
      <c r="D179" s="101">
        <v>1</v>
      </c>
      <c r="E179" s="101"/>
      <c r="F179" s="101">
        <v>1</v>
      </c>
      <c r="G179" s="101">
        <v>1</v>
      </c>
      <c r="H179" s="101">
        <f t="shared" si="9"/>
        <v>0</v>
      </c>
      <c r="I179" s="44"/>
      <c r="J179" s="87"/>
      <c r="K179" s="87"/>
      <c r="O179" s="82"/>
      <c r="P179" s="96"/>
      <c r="Q179" s="96"/>
      <c r="R179" s="84"/>
    </row>
    <row r="180" spans="1:18" s="42" customFormat="1" ht="15" customHeight="1" outlineLevel="2" x14ac:dyDescent="0.25">
      <c r="A180" s="79"/>
      <c r="B180" s="80"/>
      <c r="C180" s="80"/>
      <c r="D180" s="101"/>
      <c r="E180" s="101"/>
      <c r="F180" s="101"/>
      <c r="G180" s="101"/>
      <c r="H180" s="101"/>
      <c r="I180" s="103"/>
      <c r="O180" s="82"/>
      <c r="P180" s="96"/>
      <c r="Q180" s="96"/>
      <c r="R180" s="84"/>
    </row>
    <row r="181" spans="1:18" s="42" customFormat="1" ht="15" customHeight="1" x14ac:dyDescent="0.25">
      <c r="A181" s="79"/>
      <c r="B181" s="80" t="s">
        <v>19</v>
      </c>
      <c r="C181" s="80">
        <f>C172+0.01</f>
        <v>5.0199999999999996</v>
      </c>
      <c r="D181" s="162" t="s">
        <v>52</v>
      </c>
      <c r="E181" s="162"/>
      <c r="F181" s="162"/>
      <c r="G181" s="162"/>
      <c r="H181" s="42">
        <f>ROUND(SUM(H183),0)</f>
        <v>234</v>
      </c>
      <c r="I181" s="99" t="s">
        <v>8</v>
      </c>
      <c r="J181" s="124">
        <v>40</v>
      </c>
      <c r="K181" s="87">
        <v>71.450381679389309</v>
      </c>
      <c r="M181" s="42">
        <f>ROUND(+H181*J181,0)</f>
        <v>9360</v>
      </c>
      <c r="O181" s="82" t="s">
        <v>15</v>
      </c>
      <c r="P181" s="83">
        <f>M181</f>
        <v>9360</v>
      </c>
      <c r="Q181" s="83"/>
      <c r="R181" s="84"/>
    </row>
    <row r="182" spans="1:18" s="42" customFormat="1" ht="15" customHeight="1" x14ac:dyDescent="0.25">
      <c r="A182" s="79"/>
      <c r="B182" s="80"/>
      <c r="C182" s="80"/>
      <c r="D182" s="101"/>
      <c r="E182" s="101"/>
      <c r="F182" s="101"/>
      <c r="G182" s="101"/>
      <c r="H182" s="101"/>
      <c r="O182" s="82"/>
      <c r="P182" s="96"/>
      <c r="Q182" s="96"/>
      <c r="R182" s="84"/>
    </row>
    <row r="183" spans="1:18" s="42" customFormat="1" ht="15" customHeight="1" outlineLevel="2" x14ac:dyDescent="0.25">
      <c r="A183" s="79"/>
      <c r="B183" s="80"/>
      <c r="C183" s="80"/>
      <c r="D183" s="101"/>
      <c r="E183" s="101"/>
      <c r="F183" s="101"/>
      <c r="G183" s="101"/>
      <c r="H183" s="101">
        <f>SUM(H185:H189)</f>
        <v>234.15</v>
      </c>
      <c r="O183" s="82"/>
      <c r="P183" s="96"/>
      <c r="Q183" s="96"/>
      <c r="R183" s="84"/>
    </row>
    <row r="184" spans="1:18" s="42" customFormat="1" ht="15" customHeight="1" outlineLevel="2" x14ac:dyDescent="0.25">
      <c r="A184" s="79"/>
      <c r="B184" s="80"/>
      <c r="C184" s="80"/>
      <c r="D184" s="101"/>
      <c r="E184" s="101"/>
      <c r="F184" s="101"/>
      <c r="G184" s="101"/>
      <c r="H184" s="101"/>
      <c r="O184" s="82"/>
      <c r="P184" s="96"/>
      <c r="Q184" s="96"/>
      <c r="R184" s="84"/>
    </row>
    <row r="185" spans="1:18" s="42" customFormat="1" ht="15" customHeight="1" outlineLevel="2" x14ac:dyDescent="0.25">
      <c r="A185" s="79"/>
      <c r="B185" s="80"/>
      <c r="C185" s="80"/>
      <c r="D185" s="101">
        <v>1</v>
      </c>
      <c r="E185" s="101">
        <f>H174</f>
        <v>234.15</v>
      </c>
      <c r="F185" s="101">
        <v>1</v>
      </c>
      <c r="G185" s="101">
        <v>1</v>
      </c>
      <c r="H185" s="101">
        <f t="shared" ref="H185" si="10">D185*E185*F185*G185</f>
        <v>234.15</v>
      </c>
      <c r="J185" s="87"/>
      <c r="K185" s="87"/>
      <c r="O185" s="82"/>
      <c r="P185" s="96"/>
      <c r="Q185" s="96"/>
      <c r="R185" s="84"/>
    </row>
    <row r="186" spans="1:18" s="42" customFormat="1" ht="15" customHeight="1" outlineLevel="2" x14ac:dyDescent="0.25">
      <c r="A186" s="79"/>
      <c r="B186" s="80"/>
      <c r="C186" s="80"/>
      <c r="D186" s="101">
        <v>1</v>
      </c>
      <c r="E186" s="101">
        <v>0</v>
      </c>
      <c r="F186" s="101">
        <v>1</v>
      </c>
      <c r="G186" s="101">
        <v>1</v>
      </c>
      <c r="H186" s="101">
        <f>D186*E186*F186*G186</f>
        <v>0</v>
      </c>
      <c r="J186" s="87"/>
      <c r="K186" s="87"/>
      <c r="O186" s="82"/>
      <c r="P186" s="96"/>
      <c r="Q186" s="96"/>
      <c r="R186" s="84"/>
    </row>
    <row r="187" spans="1:18" s="42" customFormat="1" ht="15" customHeight="1" outlineLevel="2" x14ac:dyDescent="0.25">
      <c r="A187" s="79"/>
      <c r="B187" s="80"/>
      <c r="C187" s="80"/>
      <c r="D187" s="101">
        <v>1</v>
      </c>
      <c r="E187" s="101">
        <v>0</v>
      </c>
      <c r="F187" s="101">
        <v>1</v>
      </c>
      <c r="G187" s="101">
        <v>1</v>
      </c>
      <c r="H187" s="101">
        <f>D187*E187*F187*G187</f>
        <v>0</v>
      </c>
      <c r="J187" s="87"/>
      <c r="K187" s="87"/>
      <c r="O187" s="82"/>
      <c r="P187" s="96"/>
      <c r="Q187" s="96"/>
      <c r="R187" s="84"/>
    </row>
    <row r="188" spans="1:18" s="42" customFormat="1" ht="15" customHeight="1" outlineLevel="2" x14ac:dyDescent="0.25">
      <c r="A188" s="79"/>
      <c r="B188" s="80"/>
      <c r="C188" s="80"/>
      <c r="D188" s="101">
        <v>1</v>
      </c>
      <c r="E188" s="101">
        <v>0</v>
      </c>
      <c r="F188" s="101">
        <v>1</v>
      </c>
      <c r="G188" s="101">
        <v>1</v>
      </c>
      <c r="H188" s="101">
        <f t="shared" ref="H188" si="11">D188*E188*F188*G188</f>
        <v>0</v>
      </c>
      <c r="J188" s="87"/>
      <c r="K188" s="87"/>
      <c r="O188" s="82"/>
      <c r="P188" s="96"/>
      <c r="Q188" s="96"/>
      <c r="R188" s="84"/>
    </row>
    <row r="189" spans="1:18" s="42" customFormat="1" ht="15" customHeight="1" outlineLevel="2" x14ac:dyDescent="0.25">
      <c r="A189" s="79"/>
      <c r="B189" s="80"/>
      <c r="C189" s="80"/>
      <c r="D189" s="101">
        <v>1</v>
      </c>
      <c r="E189" s="101"/>
      <c r="F189" s="101">
        <v>1</v>
      </c>
      <c r="G189" s="101">
        <v>1</v>
      </c>
      <c r="H189" s="101">
        <f>D189*E189*F189*G189</f>
        <v>0</v>
      </c>
      <c r="J189" s="87"/>
      <c r="K189" s="87"/>
      <c r="O189" s="82"/>
      <c r="P189" s="96"/>
      <c r="Q189" s="96"/>
      <c r="R189" s="84"/>
    </row>
    <row r="190" spans="1:18" s="42" customFormat="1" ht="15" customHeight="1" outlineLevel="2" x14ac:dyDescent="0.25">
      <c r="A190" s="79"/>
      <c r="B190" s="80"/>
      <c r="C190" s="80"/>
      <c r="D190" s="101"/>
      <c r="E190" s="101"/>
      <c r="F190" s="101"/>
      <c r="G190" s="101"/>
      <c r="H190" s="101"/>
      <c r="I190" s="103"/>
      <c r="O190" s="82"/>
      <c r="P190" s="96"/>
      <c r="Q190" s="96"/>
      <c r="R190" s="84"/>
    </row>
    <row r="191" spans="1:18" s="42" customFormat="1" ht="30" customHeight="1" x14ac:dyDescent="0.25">
      <c r="A191" s="79"/>
      <c r="B191" s="80" t="s">
        <v>19</v>
      </c>
      <c r="C191" s="80">
        <f>C181+0.01</f>
        <v>5.0299999999999994</v>
      </c>
      <c r="D191" s="162" t="s">
        <v>28</v>
      </c>
      <c r="E191" s="162"/>
      <c r="F191" s="162"/>
      <c r="G191" s="162"/>
      <c r="H191" s="41">
        <v>0.03</v>
      </c>
      <c r="I191" s="99" t="s">
        <v>19</v>
      </c>
      <c r="J191" s="42">
        <f>SUM(Q169:Q194)</f>
        <v>0</v>
      </c>
      <c r="K191" s="87">
        <v>0</v>
      </c>
      <c r="M191" s="42">
        <f>ROUND(+H191*J191,0)</f>
        <v>0</v>
      </c>
      <c r="O191" s="82" t="s">
        <v>29</v>
      </c>
      <c r="P191" s="83">
        <f>M191</f>
        <v>0</v>
      </c>
      <c r="Q191" s="83"/>
      <c r="R191" s="84"/>
    </row>
    <row r="192" spans="1:18" s="42" customFormat="1" ht="15" customHeight="1" x14ac:dyDescent="0.25">
      <c r="A192" s="79"/>
      <c r="B192" s="80"/>
      <c r="C192" s="80"/>
      <c r="O192" s="82"/>
      <c r="P192" s="83"/>
      <c r="Q192" s="83"/>
      <c r="R192" s="84"/>
    </row>
    <row r="193" spans="1:18" s="42" customFormat="1" ht="15" customHeight="1" x14ac:dyDescent="0.25">
      <c r="A193" s="79"/>
      <c r="B193" s="80"/>
      <c r="C193" s="80" t="s">
        <v>19</v>
      </c>
      <c r="H193" s="88"/>
      <c r="I193" s="88"/>
      <c r="J193" s="88"/>
      <c r="K193" s="88"/>
      <c r="L193" s="88"/>
      <c r="M193" s="88"/>
      <c r="O193" s="82"/>
      <c r="P193" s="83"/>
      <c r="Q193" s="83"/>
      <c r="R193" s="84"/>
    </row>
    <row r="194" spans="1:18" s="42" customFormat="1" ht="15" customHeight="1" thickBot="1" x14ac:dyDescent="0.3">
      <c r="A194" s="79"/>
      <c r="B194" s="80"/>
      <c r="C194" s="80"/>
      <c r="D194" s="161" t="str">
        <f>CONCATENATE("Subtotal ",D170)</f>
        <v>Subtotal Internal Wall Finishings</v>
      </c>
      <c r="E194" s="160"/>
      <c r="F194" s="160"/>
      <c r="G194" s="160"/>
      <c r="H194" s="89">
        <f>H172+H181</f>
        <v>468</v>
      </c>
      <c r="I194" s="90" t="s">
        <v>8</v>
      </c>
      <c r="J194" s="91">
        <f>M194/H194</f>
        <v>75</v>
      </c>
      <c r="K194" s="91">
        <v>267.94</v>
      </c>
      <c r="L194" s="89"/>
      <c r="M194" s="89">
        <f>SUM(M170:M193)</f>
        <v>35100</v>
      </c>
      <c r="N194" s="42">
        <f>R194</f>
        <v>35100</v>
      </c>
      <c r="O194" s="92"/>
      <c r="P194" s="93"/>
      <c r="Q194" s="93"/>
      <c r="R194" s="94">
        <f>SUM(P169:P194)+SUM(Q169:Q194)</f>
        <v>35100</v>
      </c>
    </row>
    <row r="195" spans="1:18" s="42" customFormat="1" ht="15" customHeight="1" thickTop="1" x14ac:dyDescent="0.25">
      <c r="A195" s="79"/>
      <c r="B195" s="80"/>
      <c r="C195" s="80"/>
      <c r="O195" s="82"/>
      <c r="P195" s="83"/>
      <c r="Q195" s="83"/>
      <c r="R195" s="84"/>
    </row>
    <row r="196" spans="1:18" s="42" customFormat="1" ht="15" customHeight="1" x14ac:dyDescent="0.25">
      <c r="A196" s="79"/>
      <c r="B196" s="80" t="s">
        <v>19</v>
      </c>
      <c r="C196" s="86">
        <v>6</v>
      </c>
      <c r="D196" s="159" t="s">
        <v>53</v>
      </c>
      <c r="E196" s="160"/>
      <c r="F196" s="160"/>
      <c r="G196" s="160"/>
      <c r="J196" s="87"/>
      <c r="K196" s="87"/>
      <c r="O196" s="82"/>
      <c r="P196" s="83"/>
      <c r="Q196" s="83"/>
      <c r="R196" s="84"/>
    </row>
    <row r="197" spans="1:18" s="42" customFormat="1" ht="15" customHeight="1" x14ac:dyDescent="0.25">
      <c r="A197" s="79"/>
      <c r="B197" s="80"/>
      <c r="C197" s="86"/>
      <c r="D197" s="85"/>
      <c r="J197" s="87"/>
      <c r="K197" s="87"/>
      <c r="O197" s="82"/>
      <c r="P197" s="83"/>
      <c r="Q197" s="83"/>
      <c r="R197" s="84"/>
    </row>
    <row r="198" spans="1:18" s="42" customFormat="1" x14ac:dyDescent="0.25">
      <c r="A198" s="79"/>
      <c r="B198" s="80" t="s">
        <v>19</v>
      </c>
      <c r="C198" s="80">
        <f>C196+0.01</f>
        <v>6.01</v>
      </c>
      <c r="D198" s="164" t="s">
        <v>54</v>
      </c>
      <c r="E198" s="163"/>
      <c r="F198" s="163"/>
      <c r="G198" s="163"/>
      <c r="H198" s="42">
        <f>ROUND(SUM(H200),0)</f>
        <v>57</v>
      </c>
      <c r="I198" s="99" t="s">
        <v>8</v>
      </c>
      <c r="J198" s="87">
        <v>125</v>
      </c>
      <c r="K198" s="87">
        <v>27.194656488549619</v>
      </c>
      <c r="M198" s="42">
        <f>ROUND(L202+H198*J198,0)</f>
        <v>7125</v>
      </c>
      <c r="O198" s="82" t="s">
        <v>55</v>
      </c>
      <c r="P198" s="96"/>
      <c r="Q198" s="96">
        <f>M198</f>
        <v>7125</v>
      </c>
      <c r="R198" s="84"/>
    </row>
    <row r="199" spans="1:18" s="42" customFormat="1" ht="15" customHeight="1" x14ac:dyDescent="0.25">
      <c r="A199" s="79"/>
      <c r="B199" s="80"/>
      <c r="C199" s="80"/>
      <c r="D199" s="101"/>
      <c r="E199" s="101"/>
      <c r="F199" s="101"/>
      <c r="G199" s="101"/>
      <c r="H199" s="101"/>
      <c r="O199" s="82"/>
      <c r="P199" s="96"/>
      <c r="Q199" s="96"/>
      <c r="R199" s="84"/>
    </row>
    <row r="200" spans="1:18" s="42" customFormat="1" ht="15" customHeight="1" outlineLevel="2" x14ac:dyDescent="0.25">
      <c r="A200" s="79"/>
      <c r="B200" s="80"/>
      <c r="C200" s="80"/>
      <c r="D200" s="101"/>
      <c r="E200" s="101"/>
      <c r="F200" s="101"/>
      <c r="G200" s="101"/>
      <c r="H200" s="101">
        <f>SUM(H201:H204)</f>
        <v>57.07</v>
      </c>
      <c r="O200" s="82"/>
      <c r="P200" s="96"/>
      <c r="Q200" s="96"/>
      <c r="R200" s="84"/>
    </row>
    <row r="201" spans="1:18" s="42" customFormat="1" ht="15" customHeight="1" outlineLevel="2" x14ac:dyDescent="0.25">
      <c r="A201" s="79"/>
      <c r="B201" s="80"/>
      <c r="C201" s="80"/>
      <c r="D201" s="101"/>
      <c r="E201" s="101"/>
      <c r="F201" s="101"/>
      <c r="G201" s="101"/>
      <c r="H201" s="101"/>
      <c r="O201" s="82"/>
      <c r="P201" s="96"/>
      <c r="Q201" s="96"/>
      <c r="R201" s="84"/>
    </row>
    <row r="202" spans="1:18" s="42" customFormat="1" ht="15" customHeight="1" outlineLevel="2" x14ac:dyDescent="0.35">
      <c r="A202" s="79"/>
      <c r="B202" s="80"/>
      <c r="C202" s="80"/>
      <c r="D202" s="101">
        <v>1</v>
      </c>
      <c r="E202" s="101">
        <v>57.07</v>
      </c>
      <c r="F202" s="101">
        <v>1</v>
      </c>
      <c r="G202" s="101">
        <v>1</v>
      </c>
      <c r="H202" s="101">
        <f t="shared" ref="H202:H203" si="12">D202*E202*F202*G202</f>
        <v>57.07</v>
      </c>
      <c r="I202" s="122"/>
      <c r="J202" s="87"/>
      <c r="K202" s="87"/>
      <c r="O202" s="82"/>
      <c r="P202" s="96"/>
      <c r="Q202" s="96"/>
      <c r="R202" s="84"/>
    </row>
    <row r="203" spans="1:18" s="42" customFormat="1" ht="15" customHeight="1" outlineLevel="2" x14ac:dyDescent="0.25">
      <c r="A203" s="79"/>
      <c r="B203" s="80"/>
      <c r="C203" s="80"/>
      <c r="D203" s="101">
        <v>1</v>
      </c>
      <c r="E203" s="101">
        <v>0</v>
      </c>
      <c r="F203" s="101">
        <v>1</v>
      </c>
      <c r="G203" s="101">
        <v>1</v>
      </c>
      <c r="H203" s="101">
        <f t="shared" si="12"/>
        <v>0</v>
      </c>
      <c r="J203" s="87"/>
      <c r="K203" s="87"/>
      <c r="O203" s="82"/>
      <c r="P203" s="96"/>
      <c r="Q203" s="96"/>
      <c r="R203" s="84"/>
    </row>
    <row r="204" spans="1:18" s="42" customFormat="1" ht="15" customHeight="1" outlineLevel="2" x14ac:dyDescent="0.25">
      <c r="A204" s="79"/>
      <c r="B204" s="80"/>
      <c r="C204" s="80"/>
      <c r="D204" s="101"/>
      <c r="E204" s="101"/>
      <c r="F204" s="101"/>
      <c r="G204" s="101"/>
      <c r="H204" s="101"/>
      <c r="O204" s="82"/>
      <c r="P204" s="96"/>
      <c r="Q204" s="96"/>
      <c r="R204" s="84"/>
    </row>
    <row r="205" spans="1:18" s="42" customFormat="1" ht="15" customHeight="1" outlineLevel="2" x14ac:dyDescent="0.25">
      <c r="A205" s="79"/>
      <c r="B205" s="80"/>
      <c r="C205" s="80"/>
      <c r="D205" s="101"/>
      <c r="E205" s="101"/>
      <c r="F205" s="101"/>
      <c r="G205" s="101"/>
      <c r="H205" s="101"/>
      <c r="J205" s="87"/>
      <c r="K205" s="87"/>
      <c r="O205" s="82"/>
      <c r="P205" s="96"/>
      <c r="Q205" s="96"/>
      <c r="R205" s="84"/>
    </row>
    <row r="206" spans="1:18" s="42" customFormat="1" x14ac:dyDescent="0.25">
      <c r="A206" s="79"/>
      <c r="B206" s="80" t="s">
        <v>19</v>
      </c>
      <c r="C206" s="80">
        <f>C198+0.01</f>
        <v>6.02</v>
      </c>
      <c r="D206" s="164" t="s">
        <v>87</v>
      </c>
      <c r="E206" s="163"/>
      <c r="F206" s="163"/>
      <c r="G206" s="163"/>
      <c r="H206" s="42">
        <f>ROUND(SUM(H208),0)</f>
        <v>57</v>
      </c>
      <c r="I206" s="99" t="s">
        <v>8</v>
      </c>
      <c r="J206" s="87">
        <v>125</v>
      </c>
      <c r="K206" s="87">
        <v>27.194656488549619</v>
      </c>
      <c r="M206" s="42">
        <f>ROUND(+H206*J206,0)</f>
        <v>7125</v>
      </c>
      <c r="O206" s="82" t="s">
        <v>55</v>
      </c>
      <c r="P206" s="96"/>
      <c r="Q206" s="96">
        <f>M206</f>
        <v>7125</v>
      </c>
      <c r="R206" s="84"/>
    </row>
    <row r="207" spans="1:18" s="42" customFormat="1" ht="15" customHeight="1" x14ac:dyDescent="0.25">
      <c r="A207" s="79"/>
      <c r="B207" s="80"/>
      <c r="C207" s="80"/>
      <c r="D207" s="101"/>
      <c r="E207" s="101"/>
      <c r="F207" s="101"/>
      <c r="G207" s="101"/>
      <c r="H207" s="101"/>
      <c r="O207" s="82"/>
      <c r="P207" s="96"/>
      <c r="Q207" s="96"/>
      <c r="R207" s="84"/>
    </row>
    <row r="208" spans="1:18" s="42" customFormat="1" ht="15" customHeight="1" outlineLevel="2" x14ac:dyDescent="0.25">
      <c r="A208" s="79"/>
      <c r="B208" s="80"/>
      <c r="C208" s="80"/>
      <c r="D208" s="101"/>
      <c r="E208" s="101"/>
      <c r="F208" s="101"/>
      <c r="G208" s="101"/>
      <c r="H208" s="101">
        <f>SUM(H209:H212)</f>
        <v>57.07</v>
      </c>
      <c r="O208" s="82"/>
      <c r="P208" s="96"/>
      <c r="Q208" s="96"/>
      <c r="R208" s="84"/>
    </row>
    <row r="209" spans="1:18" s="42" customFormat="1" ht="15" customHeight="1" outlineLevel="2" x14ac:dyDescent="0.25">
      <c r="A209" s="79"/>
      <c r="B209" s="80"/>
      <c r="C209" s="80"/>
      <c r="D209" s="101"/>
      <c r="E209" s="101"/>
      <c r="F209" s="101"/>
      <c r="G209" s="101"/>
      <c r="H209" s="101"/>
      <c r="O209" s="82"/>
      <c r="P209" s="96"/>
      <c r="Q209" s="96"/>
      <c r="R209" s="84"/>
    </row>
    <row r="210" spans="1:18" s="42" customFormat="1" ht="15" customHeight="1" outlineLevel="2" x14ac:dyDescent="0.35">
      <c r="A210" s="79"/>
      <c r="B210" s="80"/>
      <c r="C210" s="80"/>
      <c r="D210" s="101">
        <v>1</v>
      </c>
      <c r="E210" s="101">
        <f>H200</f>
        <v>57.07</v>
      </c>
      <c r="F210" s="101">
        <v>1</v>
      </c>
      <c r="G210" s="101">
        <v>1</v>
      </c>
      <c r="H210" s="101">
        <f t="shared" ref="H210:H211" si="13">D210*E210*F210*G210</f>
        <v>57.07</v>
      </c>
      <c r="I210" s="122"/>
      <c r="J210" s="87"/>
      <c r="K210" s="87"/>
      <c r="O210" s="82"/>
      <c r="P210" s="96"/>
      <c r="Q210" s="96"/>
      <c r="R210" s="84"/>
    </row>
    <row r="211" spans="1:18" s="42" customFormat="1" ht="15" customHeight="1" outlineLevel="2" x14ac:dyDescent="0.25">
      <c r="A211" s="79"/>
      <c r="B211" s="80"/>
      <c r="C211" s="80"/>
      <c r="D211" s="101">
        <v>1</v>
      </c>
      <c r="E211" s="101">
        <v>0</v>
      </c>
      <c r="F211" s="101">
        <v>1</v>
      </c>
      <c r="G211" s="101">
        <v>1</v>
      </c>
      <c r="H211" s="101">
        <f t="shared" si="13"/>
        <v>0</v>
      </c>
      <c r="J211" s="87"/>
      <c r="K211" s="87"/>
      <c r="O211" s="82"/>
      <c r="P211" s="96"/>
      <c r="Q211" s="96"/>
      <c r="R211" s="84"/>
    </row>
    <row r="212" spans="1:18" s="42" customFormat="1" ht="15" customHeight="1" outlineLevel="2" x14ac:dyDescent="0.25">
      <c r="A212" s="79"/>
      <c r="B212" s="80"/>
      <c r="C212" s="80"/>
      <c r="D212" s="101"/>
      <c r="E212" s="101"/>
      <c r="F212" s="101"/>
      <c r="G212" s="101"/>
      <c r="H212" s="101"/>
      <c r="O212" s="82"/>
      <c r="P212" s="96"/>
      <c r="Q212" s="96"/>
      <c r="R212" s="84"/>
    </row>
    <row r="213" spans="1:18" s="42" customFormat="1" ht="15" customHeight="1" outlineLevel="2" x14ac:dyDescent="0.25">
      <c r="A213" s="79"/>
      <c r="B213" s="80"/>
      <c r="C213" s="80"/>
      <c r="D213" s="101"/>
      <c r="E213" s="101"/>
      <c r="F213" s="101"/>
      <c r="G213" s="101"/>
      <c r="H213" s="101"/>
      <c r="J213" s="87"/>
      <c r="K213" s="87"/>
      <c r="O213" s="82"/>
      <c r="P213" s="96"/>
      <c r="Q213" s="96"/>
      <c r="R213" s="84"/>
    </row>
    <row r="214" spans="1:18" s="42" customFormat="1" ht="15" customHeight="1" x14ac:dyDescent="0.25">
      <c r="A214" s="79"/>
      <c r="B214" s="80" t="s">
        <v>19</v>
      </c>
      <c r="C214" s="80">
        <f>C206+0.01</f>
        <v>6.0299999999999994</v>
      </c>
      <c r="D214" s="168" t="s">
        <v>56</v>
      </c>
      <c r="E214" s="169"/>
      <c r="F214" s="169"/>
      <c r="G214" s="169"/>
      <c r="H214" s="42">
        <f>ROUND(SUM(H216),0)</f>
        <v>57</v>
      </c>
      <c r="I214" s="99" t="s">
        <v>8</v>
      </c>
      <c r="J214" s="87">
        <v>50</v>
      </c>
      <c r="K214" s="87">
        <v>0</v>
      </c>
      <c r="M214" s="42">
        <f>ROUND(+H214*J214,0)</f>
        <v>2850</v>
      </c>
      <c r="O214" s="82" t="s">
        <v>15</v>
      </c>
      <c r="P214" s="83">
        <f>M214</f>
        <v>2850</v>
      </c>
      <c r="Q214" s="83"/>
      <c r="R214" s="84"/>
    </row>
    <row r="215" spans="1:18" s="42" customFormat="1" ht="15" customHeight="1" x14ac:dyDescent="0.25">
      <c r="A215" s="79"/>
      <c r="B215" s="80"/>
      <c r="C215" s="80"/>
      <c r="D215" s="101"/>
      <c r="E215" s="101"/>
      <c r="F215" s="101"/>
      <c r="G215" s="101"/>
      <c r="H215" s="101"/>
      <c r="O215" s="82"/>
      <c r="P215" s="96"/>
      <c r="Q215" s="96"/>
      <c r="R215" s="84"/>
    </row>
    <row r="216" spans="1:18" s="42" customFormat="1" ht="15" customHeight="1" outlineLevel="2" x14ac:dyDescent="0.25">
      <c r="A216" s="79"/>
      <c r="B216" s="80"/>
      <c r="C216" s="80"/>
      <c r="D216" s="101"/>
      <c r="E216" s="101"/>
      <c r="F216" s="101"/>
      <c r="G216" s="101"/>
      <c r="H216" s="101">
        <f>SUM(H217:H220)</f>
        <v>57.07</v>
      </c>
      <c r="O216" s="82"/>
      <c r="P216" s="96"/>
      <c r="Q216" s="96"/>
      <c r="R216" s="84"/>
    </row>
    <row r="217" spans="1:18" s="42" customFormat="1" ht="15" customHeight="1" outlineLevel="2" x14ac:dyDescent="0.25">
      <c r="A217" s="79"/>
      <c r="B217" s="80"/>
      <c r="C217" s="80"/>
      <c r="D217" s="101"/>
      <c r="E217" s="101"/>
      <c r="F217" s="101"/>
      <c r="G217" s="101"/>
      <c r="H217" s="101"/>
      <c r="O217" s="82"/>
      <c r="P217" s="96"/>
      <c r="Q217" s="96"/>
      <c r="R217" s="84"/>
    </row>
    <row r="218" spans="1:18" s="42" customFormat="1" ht="15" customHeight="1" outlineLevel="2" x14ac:dyDescent="0.25">
      <c r="A218" s="79"/>
      <c r="B218" s="80"/>
      <c r="C218" s="80"/>
      <c r="D218" s="101">
        <v>1</v>
      </c>
      <c r="E218" s="101">
        <f>H208</f>
        <v>57.07</v>
      </c>
      <c r="F218" s="101">
        <v>1</v>
      </c>
      <c r="G218" s="101">
        <v>1</v>
      </c>
      <c r="H218" s="101">
        <f t="shared" ref="H218:H219" si="14">D218*E218*F218*G218</f>
        <v>57.07</v>
      </c>
      <c r="J218" s="87"/>
      <c r="K218" s="87"/>
      <c r="O218" s="82"/>
      <c r="P218" s="96"/>
      <c r="Q218" s="96"/>
      <c r="R218" s="84"/>
    </row>
    <row r="219" spans="1:18" s="42" customFormat="1" ht="15" customHeight="1" outlineLevel="2" x14ac:dyDescent="0.25">
      <c r="A219" s="79"/>
      <c r="B219" s="80"/>
      <c r="C219" s="80"/>
      <c r="D219" s="101">
        <v>1</v>
      </c>
      <c r="E219" s="101"/>
      <c r="F219" s="101">
        <v>1</v>
      </c>
      <c r="G219" s="101">
        <v>1</v>
      </c>
      <c r="H219" s="101">
        <f t="shared" si="14"/>
        <v>0</v>
      </c>
      <c r="J219" s="87"/>
      <c r="K219" s="87"/>
      <c r="O219" s="82"/>
      <c r="P219" s="96"/>
      <c r="Q219" s="96"/>
      <c r="R219" s="84"/>
    </row>
    <row r="220" spans="1:18" s="42" customFormat="1" ht="15" customHeight="1" outlineLevel="2" x14ac:dyDescent="0.25">
      <c r="A220" s="79"/>
      <c r="B220" s="80"/>
      <c r="C220" s="80"/>
      <c r="D220" s="101">
        <v>1</v>
      </c>
      <c r="E220" s="101"/>
      <c r="F220" s="101">
        <v>1</v>
      </c>
      <c r="G220" s="101">
        <v>1</v>
      </c>
      <c r="H220" s="101">
        <f>D220*E220*F220*G220</f>
        <v>0</v>
      </c>
      <c r="J220" s="87"/>
      <c r="K220" s="87"/>
      <c r="O220" s="82"/>
      <c r="P220" s="96"/>
      <c r="Q220" s="96"/>
      <c r="R220" s="84"/>
    </row>
    <row r="221" spans="1:18" s="42" customFormat="1" ht="15" customHeight="1" outlineLevel="2" x14ac:dyDescent="0.25">
      <c r="A221" s="79"/>
      <c r="B221" s="80"/>
      <c r="C221" s="80"/>
      <c r="D221" s="101"/>
      <c r="E221" s="101"/>
      <c r="F221" s="101"/>
      <c r="G221" s="101"/>
      <c r="H221" s="101"/>
      <c r="J221" s="87"/>
      <c r="K221" s="87"/>
      <c r="O221" s="82"/>
      <c r="P221" s="96"/>
      <c r="Q221" s="96"/>
      <c r="R221" s="84"/>
    </row>
    <row r="222" spans="1:18" s="42" customFormat="1" ht="15" customHeight="1" x14ac:dyDescent="0.25">
      <c r="A222" s="79"/>
      <c r="B222" s="80" t="s">
        <v>19</v>
      </c>
      <c r="C222" s="80">
        <f>C214+0.01</f>
        <v>6.0399999999999991</v>
      </c>
      <c r="D222" s="162" t="s">
        <v>28</v>
      </c>
      <c r="E222" s="162"/>
      <c r="F222" s="162"/>
      <c r="G222" s="162"/>
      <c r="H222" s="41">
        <v>0.03</v>
      </c>
      <c r="I222" s="99" t="s">
        <v>19</v>
      </c>
      <c r="J222" s="42">
        <f>SUM(Q195:Q223)</f>
        <v>14250</v>
      </c>
      <c r="K222" s="87">
        <v>1.633587786259542</v>
      </c>
      <c r="M222" s="42">
        <f>ROUND(+H222*J222,0)</f>
        <v>428</v>
      </c>
      <c r="O222" s="82" t="s">
        <v>29</v>
      </c>
      <c r="P222" s="83">
        <f>M222</f>
        <v>428</v>
      </c>
      <c r="Q222" s="83"/>
      <c r="R222" s="84"/>
    </row>
    <row r="223" spans="1:18" s="42" customFormat="1" ht="15" customHeight="1" x14ac:dyDescent="0.25">
      <c r="A223" s="79"/>
      <c r="B223" s="80"/>
      <c r="C223" s="80"/>
      <c r="O223" s="82"/>
      <c r="P223" s="83"/>
      <c r="Q223" s="83"/>
      <c r="R223" s="84"/>
    </row>
    <row r="224" spans="1:18" s="42" customFormat="1" ht="15" customHeight="1" x14ac:dyDescent="0.25">
      <c r="A224" s="79"/>
      <c r="B224" s="80"/>
      <c r="C224" s="80" t="s">
        <v>19</v>
      </c>
      <c r="H224" s="88"/>
      <c r="I224" s="88"/>
      <c r="J224" s="88"/>
      <c r="K224" s="88"/>
      <c r="L224" s="88"/>
      <c r="M224" s="88"/>
      <c r="O224" s="82"/>
      <c r="P224" s="83"/>
      <c r="Q224" s="83"/>
      <c r="R224" s="84"/>
    </row>
    <row r="225" spans="1:18" s="42" customFormat="1" ht="15" customHeight="1" thickBot="1" x14ac:dyDescent="0.3">
      <c r="A225" s="79"/>
      <c r="B225" s="80" t="s">
        <v>19</v>
      </c>
      <c r="C225" s="80"/>
      <c r="D225" s="161" t="str">
        <f>CONCATENATE("Subtotal ",D196)</f>
        <v>Subtotal Ceilings</v>
      </c>
      <c r="E225" s="160"/>
      <c r="F225" s="160"/>
      <c r="G225" s="160"/>
      <c r="H225" s="89">
        <f>H198+H206+H214</f>
        <v>171</v>
      </c>
      <c r="I225" s="90" t="s">
        <v>8</v>
      </c>
      <c r="J225" s="91">
        <f>M225/H225</f>
        <v>102.50292397660819</v>
      </c>
      <c r="K225" s="91">
        <v>56.02</v>
      </c>
      <c r="L225" s="89"/>
      <c r="M225" s="89">
        <f>SUM(M196:M224)</f>
        <v>17528</v>
      </c>
      <c r="N225" s="42">
        <f>R225</f>
        <v>17528</v>
      </c>
      <c r="O225" s="92"/>
      <c r="P225" s="93"/>
      <c r="Q225" s="93"/>
      <c r="R225" s="94">
        <f>SUM(P195:P225)+SUM(Q195:Q225)</f>
        <v>17528</v>
      </c>
    </row>
    <row r="226" spans="1:18" s="42" customFormat="1" ht="15" customHeight="1" thickTop="1" x14ac:dyDescent="0.25">
      <c r="A226" s="79"/>
      <c r="B226" s="80"/>
      <c r="C226" s="80"/>
      <c r="O226" s="82"/>
      <c r="P226" s="83"/>
      <c r="Q226" s="83"/>
      <c r="R226" s="84"/>
    </row>
    <row r="227" spans="1:18" s="42" customFormat="1" ht="15" customHeight="1" x14ac:dyDescent="0.25">
      <c r="A227" s="79"/>
      <c r="B227" s="80" t="s">
        <v>19</v>
      </c>
      <c r="C227" s="86"/>
      <c r="D227" s="159" t="s">
        <v>57</v>
      </c>
      <c r="E227" s="160"/>
      <c r="F227" s="160"/>
      <c r="G227" s="160"/>
      <c r="J227" s="87"/>
      <c r="K227" s="87"/>
      <c r="O227" s="82"/>
      <c r="P227" s="83"/>
      <c r="Q227" s="83"/>
      <c r="R227" s="84"/>
    </row>
    <row r="228" spans="1:18" s="42" customFormat="1" ht="15" customHeight="1" x14ac:dyDescent="0.25">
      <c r="A228" s="79"/>
      <c r="B228" s="80"/>
      <c r="C228" s="80"/>
      <c r="J228" s="87"/>
      <c r="K228" s="87"/>
      <c r="O228" s="82"/>
      <c r="P228" s="83"/>
      <c r="Q228" s="83"/>
      <c r="R228" s="84"/>
    </row>
    <row r="229" spans="1:18" s="42" customFormat="1" ht="15" customHeight="1" x14ac:dyDescent="0.25">
      <c r="A229" s="79"/>
      <c r="B229" s="80" t="s">
        <v>19</v>
      </c>
      <c r="C229" s="86">
        <v>7</v>
      </c>
      <c r="D229" s="159" t="s">
        <v>58</v>
      </c>
      <c r="E229" s="159"/>
      <c r="F229" s="159"/>
      <c r="G229" s="159"/>
      <c r="O229" s="82"/>
      <c r="P229" s="83"/>
      <c r="Q229" s="83"/>
      <c r="R229" s="84"/>
    </row>
    <row r="230" spans="1:18" s="42" customFormat="1" ht="15" customHeight="1" x14ac:dyDescent="0.25">
      <c r="A230" s="79"/>
      <c r="B230" s="80"/>
      <c r="C230" s="86"/>
      <c r="D230" s="85"/>
      <c r="O230" s="82"/>
      <c r="P230" s="83"/>
      <c r="Q230" s="83"/>
      <c r="R230" s="84"/>
    </row>
    <row r="231" spans="1:18" s="42" customFormat="1" ht="15" customHeight="1" collapsed="1" x14ac:dyDescent="0.25">
      <c r="A231" s="79"/>
      <c r="B231" s="80" t="s">
        <v>19</v>
      </c>
      <c r="C231" s="123">
        <f>C229+0.01</f>
        <v>7.01</v>
      </c>
      <c r="D231" s="164" t="s">
        <v>59</v>
      </c>
      <c r="E231" s="163"/>
      <c r="F231" s="163"/>
      <c r="G231" s="163"/>
      <c r="H231" s="42">
        <f>ROUND(SUM(H233),)</f>
        <v>9</v>
      </c>
      <c r="I231" s="100" t="s">
        <v>60</v>
      </c>
      <c r="J231" s="42">
        <v>3000</v>
      </c>
      <c r="K231" s="87">
        <v>103.05343511450381</v>
      </c>
      <c r="L231" s="44"/>
      <c r="M231" s="42">
        <f>ROUND(+H231*J231,0)</f>
        <v>27000</v>
      </c>
      <c r="O231" s="82" t="s">
        <v>61</v>
      </c>
      <c r="P231" s="96"/>
      <c r="Q231" s="96">
        <f>M231</f>
        <v>27000</v>
      </c>
      <c r="R231" s="84"/>
    </row>
    <row r="232" spans="1:18" s="105" customFormat="1" ht="15" customHeight="1" x14ac:dyDescent="0.25">
      <c r="B232" s="104"/>
      <c r="C232" s="104"/>
      <c r="D232" s="101"/>
      <c r="E232" s="101"/>
      <c r="F232" s="101"/>
      <c r="G232" s="101"/>
      <c r="H232" s="101"/>
      <c r="O232" s="115"/>
      <c r="P232" s="116"/>
      <c r="Q232" s="116"/>
      <c r="R232" s="108"/>
    </row>
    <row r="233" spans="1:18" s="105" customFormat="1" ht="15" customHeight="1" outlineLevel="2" x14ac:dyDescent="0.25">
      <c r="B233" s="104"/>
      <c r="C233" s="104"/>
      <c r="D233" s="101"/>
      <c r="E233" s="101"/>
      <c r="F233" s="101"/>
      <c r="G233" s="101"/>
      <c r="H233" s="101">
        <f>SUM(H235:H236)</f>
        <v>9</v>
      </c>
      <c r="O233" s="115"/>
      <c r="P233" s="116"/>
      <c r="Q233" s="116"/>
      <c r="R233" s="108"/>
    </row>
    <row r="234" spans="1:18" s="105" customFormat="1" ht="15" customHeight="1" outlineLevel="2" x14ac:dyDescent="0.25">
      <c r="B234" s="104"/>
      <c r="C234" s="104"/>
      <c r="D234" s="101"/>
      <c r="E234" s="101"/>
      <c r="F234" s="101"/>
      <c r="G234" s="101"/>
      <c r="H234" s="101"/>
      <c r="O234" s="115"/>
      <c r="P234" s="116"/>
      <c r="Q234" s="116"/>
      <c r="R234" s="108"/>
    </row>
    <row r="235" spans="1:18" s="105" customFormat="1" ht="15" customHeight="1" outlineLevel="2" x14ac:dyDescent="0.25">
      <c r="B235" s="104"/>
      <c r="C235" s="104"/>
      <c r="D235" s="101">
        <v>1</v>
      </c>
      <c r="E235" s="101">
        <v>6</v>
      </c>
      <c r="F235" s="101">
        <v>1</v>
      </c>
      <c r="G235" s="101">
        <v>1</v>
      </c>
      <c r="H235" s="101">
        <f t="shared" ref="H235:H236" si="15">D235*E235*F235*G235</f>
        <v>6</v>
      </c>
      <c r="I235" s="44" t="s">
        <v>62</v>
      </c>
      <c r="J235" s="114"/>
      <c r="K235" s="114"/>
      <c r="O235" s="115"/>
      <c r="P235" s="116"/>
      <c r="Q235" s="116"/>
      <c r="R235" s="108"/>
    </row>
    <row r="236" spans="1:18" s="105" customFormat="1" ht="15" customHeight="1" outlineLevel="2" x14ac:dyDescent="0.25">
      <c r="B236" s="104"/>
      <c r="C236" s="104"/>
      <c r="D236" s="101">
        <v>1</v>
      </c>
      <c r="E236" s="101">
        <v>3</v>
      </c>
      <c r="F236" s="101">
        <v>1</v>
      </c>
      <c r="G236" s="101">
        <v>1</v>
      </c>
      <c r="H236" s="101">
        <f t="shared" si="15"/>
        <v>3</v>
      </c>
      <c r="I236" s="42" t="s">
        <v>63</v>
      </c>
      <c r="J236" s="114"/>
      <c r="K236" s="114"/>
      <c r="O236" s="115"/>
      <c r="P236" s="116"/>
      <c r="Q236" s="116"/>
      <c r="R236" s="108"/>
    </row>
    <row r="237" spans="1:18" s="105" customFormat="1" ht="15" customHeight="1" outlineLevel="2" x14ac:dyDescent="0.25">
      <c r="B237" s="104"/>
      <c r="C237" s="104"/>
      <c r="D237" s="101"/>
      <c r="E237" s="101"/>
      <c r="F237" s="101"/>
      <c r="G237" s="101"/>
      <c r="H237" s="101"/>
      <c r="J237" s="114"/>
      <c r="K237" s="114"/>
      <c r="O237" s="115"/>
      <c r="P237" s="116"/>
      <c r="Q237" s="116"/>
      <c r="R237" s="108"/>
    </row>
    <row r="238" spans="1:18" s="42" customFormat="1" ht="15" customHeight="1" x14ac:dyDescent="0.25">
      <c r="A238" s="79"/>
      <c r="B238" s="80" t="s">
        <v>19</v>
      </c>
      <c r="C238" s="123">
        <f>C231+0.01</f>
        <v>7.02</v>
      </c>
      <c r="D238" s="164" t="s">
        <v>64</v>
      </c>
      <c r="E238" s="164"/>
      <c r="F238" s="164"/>
      <c r="G238" s="164"/>
      <c r="H238" s="42">
        <f>ROUND(SUM(H240),0)</f>
        <v>9</v>
      </c>
      <c r="I238" s="100" t="s">
        <v>60</v>
      </c>
      <c r="J238" s="42">
        <v>10000</v>
      </c>
      <c r="K238" s="87">
        <v>343.51145038167937</v>
      </c>
      <c r="L238" s="44"/>
      <c r="M238" s="42">
        <f>ROUND(+H238*J238,0)</f>
        <v>90000</v>
      </c>
      <c r="O238" s="82" t="s">
        <v>61</v>
      </c>
      <c r="P238" s="96"/>
      <c r="Q238" s="96">
        <f>M238</f>
        <v>90000</v>
      </c>
      <c r="R238" s="84"/>
    </row>
    <row r="239" spans="1:18" s="42" customFormat="1" ht="15" customHeight="1" x14ac:dyDescent="0.25">
      <c r="A239" s="79"/>
      <c r="B239" s="80"/>
      <c r="C239" s="80"/>
      <c r="D239" s="101"/>
      <c r="E239" s="101"/>
      <c r="F239" s="101"/>
      <c r="G239" s="101"/>
      <c r="H239" s="101"/>
      <c r="O239" s="82"/>
      <c r="P239" s="96"/>
      <c r="Q239" s="96"/>
      <c r="R239" s="84"/>
    </row>
    <row r="240" spans="1:18" s="42" customFormat="1" ht="15" customHeight="1" outlineLevel="2" x14ac:dyDescent="0.25">
      <c r="A240" s="79"/>
      <c r="B240" s="80"/>
      <c r="C240" s="80"/>
      <c r="D240" s="101"/>
      <c r="E240" s="101"/>
      <c r="F240" s="101"/>
      <c r="G240" s="101"/>
      <c r="H240" s="101">
        <f>SUM(H242:H243)</f>
        <v>9</v>
      </c>
      <c r="O240" s="82"/>
      <c r="P240" s="96"/>
      <c r="Q240" s="96"/>
      <c r="R240" s="84"/>
    </row>
    <row r="241" spans="1:255" s="42" customFormat="1" ht="15" customHeight="1" outlineLevel="2" x14ac:dyDescent="0.25">
      <c r="A241" s="79"/>
      <c r="B241" s="80"/>
      <c r="C241" s="80"/>
      <c r="D241" s="101"/>
      <c r="E241" s="101"/>
      <c r="F241" s="101"/>
      <c r="G241" s="101"/>
      <c r="H241" s="101"/>
      <c r="O241" s="82"/>
      <c r="P241" s="96"/>
      <c r="Q241" s="96"/>
      <c r="R241" s="84"/>
    </row>
    <row r="242" spans="1:255" s="42" customFormat="1" ht="15" customHeight="1" outlineLevel="2" x14ac:dyDescent="0.25">
      <c r="A242" s="79"/>
      <c r="B242" s="80"/>
      <c r="C242" s="80"/>
      <c r="D242" s="101">
        <v>1</v>
      </c>
      <c r="E242" s="101">
        <f>E235</f>
        <v>6</v>
      </c>
      <c r="F242" s="101">
        <v>1</v>
      </c>
      <c r="G242" s="101">
        <v>1</v>
      </c>
      <c r="H242" s="101">
        <f t="shared" ref="H242:H243" si="16">D242*E242*F242*G242</f>
        <v>6</v>
      </c>
      <c r="I242" s="44" t="s">
        <v>62</v>
      </c>
      <c r="J242" s="87"/>
      <c r="K242" s="87"/>
      <c r="O242" s="82"/>
      <c r="P242" s="96"/>
      <c r="Q242" s="96"/>
      <c r="R242" s="84"/>
    </row>
    <row r="243" spans="1:255" s="42" customFormat="1" ht="15" customHeight="1" outlineLevel="2" x14ac:dyDescent="0.25">
      <c r="A243" s="79"/>
      <c r="B243" s="80"/>
      <c r="C243" s="80"/>
      <c r="D243" s="101">
        <v>1</v>
      </c>
      <c r="E243" s="101">
        <f>E236</f>
        <v>3</v>
      </c>
      <c r="F243" s="101">
        <v>1</v>
      </c>
      <c r="G243" s="101">
        <v>1</v>
      </c>
      <c r="H243" s="101">
        <f t="shared" si="16"/>
        <v>3</v>
      </c>
      <c r="I243" s="42" t="s">
        <v>63</v>
      </c>
      <c r="J243" s="87"/>
      <c r="K243" s="87"/>
      <c r="O243" s="82"/>
      <c r="P243" s="96"/>
      <c r="Q243" s="96"/>
      <c r="R243" s="84"/>
    </row>
    <row r="244" spans="1:255" s="42" customFormat="1" ht="15" customHeight="1" outlineLevel="2" x14ac:dyDescent="0.25">
      <c r="A244" s="79"/>
      <c r="B244" s="80"/>
      <c r="C244" s="80"/>
      <c r="D244" s="101"/>
      <c r="E244" s="101"/>
      <c r="F244" s="101"/>
      <c r="G244" s="101"/>
      <c r="H244" s="101"/>
      <c r="J244" s="87"/>
      <c r="K244" s="87"/>
      <c r="O244" s="82"/>
      <c r="P244" s="96"/>
      <c r="Q244" s="96"/>
      <c r="R244" s="84"/>
    </row>
    <row r="245" spans="1:255" s="42" customFormat="1" ht="15" customHeight="1" x14ac:dyDescent="0.25">
      <c r="A245" s="79"/>
      <c r="B245" s="80" t="s">
        <v>19</v>
      </c>
      <c r="C245" s="123">
        <f>C238+0.01</f>
        <v>7.0299999999999994</v>
      </c>
      <c r="D245" s="164" t="s">
        <v>65</v>
      </c>
      <c r="E245" s="163"/>
      <c r="F245" s="163"/>
      <c r="G245" s="163"/>
      <c r="H245" s="42">
        <f>ROUND(SUM(H247),0)</f>
        <v>9</v>
      </c>
      <c r="I245" s="100" t="s">
        <v>60</v>
      </c>
      <c r="J245" s="42">
        <v>3000</v>
      </c>
      <c r="K245" s="124">
        <v>103.05343511450381</v>
      </c>
      <c r="L245" s="44"/>
      <c r="M245" s="44">
        <f>ROUND(+H245*J245,0)</f>
        <v>27000</v>
      </c>
      <c r="O245" s="82" t="s">
        <v>61</v>
      </c>
      <c r="P245" s="96"/>
      <c r="Q245" s="96">
        <f>M245</f>
        <v>27000</v>
      </c>
      <c r="R245" s="84"/>
    </row>
    <row r="246" spans="1:255" s="42" customFormat="1" ht="15" customHeight="1" x14ac:dyDescent="0.25">
      <c r="A246" s="79"/>
      <c r="B246" s="80"/>
      <c r="C246" s="123"/>
      <c r="D246" s="125"/>
      <c r="E246" s="125"/>
      <c r="F246" s="125"/>
      <c r="G246" s="125"/>
      <c r="H246" s="125"/>
      <c r="I246" s="44"/>
      <c r="J246" s="44"/>
      <c r="K246" s="44"/>
      <c r="L246" s="44"/>
      <c r="M246" s="44"/>
      <c r="O246" s="82"/>
      <c r="P246" s="96"/>
      <c r="Q246" s="96"/>
      <c r="R246" s="84"/>
    </row>
    <row r="247" spans="1:255" s="105" customFormat="1" ht="15" customHeight="1" outlineLevel="2" x14ac:dyDescent="0.25">
      <c r="B247" s="104"/>
      <c r="C247" s="104"/>
      <c r="D247" s="101"/>
      <c r="E247" s="101"/>
      <c r="F247" s="101"/>
      <c r="G247" s="101"/>
      <c r="H247" s="101">
        <f>SUM(H249:H251)</f>
        <v>9</v>
      </c>
      <c r="O247" s="115"/>
      <c r="P247" s="116"/>
      <c r="Q247" s="116"/>
      <c r="R247" s="108"/>
    </row>
    <row r="248" spans="1:255" s="105" customFormat="1" ht="15" customHeight="1" outlineLevel="2" x14ac:dyDescent="0.25">
      <c r="B248" s="104"/>
      <c r="C248" s="104"/>
      <c r="D248" s="101"/>
      <c r="E248" s="101"/>
      <c r="F248" s="101"/>
      <c r="G248" s="101"/>
      <c r="H248" s="101"/>
      <c r="O248" s="115"/>
      <c r="P248" s="116"/>
      <c r="Q248" s="116"/>
      <c r="R248" s="108"/>
    </row>
    <row r="249" spans="1:255" s="105" customFormat="1" ht="15" customHeight="1" outlineLevel="2" x14ac:dyDescent="0.25">
      <c r="B249" s="104"/>
      <c r="C249" s="104"/>
      <c r="D249" s="101">
        <v>1</v>
      </c>
      <c r="E249" s="101">
        <f>E242</f>
        <v>6</v>
      </c>
      <c r="F249" s="101">
        <v>1</v>
      </c>
      <c r="G249" s="101">
        <v>1</v>
      </c>
      <c r="H249" s="101">
        <f>D249*E249*F249*G249</f>
        <v>6</v>
      </c>
      <c r="I249" s="44" t="str">
        <f>I242</f>
        <v>Bathrooms</v>
      </c>
      <c r="J249" s="114"/>
      <c r="K249" s="114"/>
      <c r="O249" s="115"/>
      <c r="P249" s="116"/>
      <c r="Q249" s="116"/>
      <c r="R249" s="108"/>
    </row>
    <row r="250" spans="1:255" s="105" customFormat="1" ht="15" customHeight="1" outlineLevel="2" x14ac:dyDescent="0.25">
      <c r="B250" s="104"/>
      <c r="C250" s="104"/>
      <c r="D250" s="101">
        <v>1</v>
      </c>
      <c r="E250" s="101">
        <f>E243</f>
        <v>3</v>
      </c>
      <c r="F250" s="101">
        <v>1</v>
      </c>
      <c r="G250" s="101">
        <v>1</v>
      </c>
      <c r="H250" s="101">
        <f>D250*E250*F250*G250</f>
        <v>3</v>
      </c>
      <c r="I250" s="42" t="str">
        <f>I243</f>
        <v>Kitchens</v>
      </c>
      <c r="J250" s="114"/>
      <c r="K250" s="114"/>
      <c r="O250" s="115"/>
      <c r="P250" s="116"/>
      <c r="Q250" s="116"/>
      <c r="R250" s="108"/>
    </row>
    <row r="251" spans="1:255" s="105" customFormat="1" ht="15" customHeight="1" outlineLevel="2" x14ac:dyDescent="0.25">
      <c r="B251" s="104"/>
      <c r="C251" s="104"/>
      <c r="D251" s="101">
        <v>1</v>
      </c>
      <c r="E251" s="101"/>
      <c r="F251" s="101">
        <v>1</v>
      </c>
      <c r="G251" s="101">
        <v>1</v>
      </c>
      <c r="H251" s="101">
        <f t="shared" ref="H251" si="17">D251*E251*F251*G251</f>
        <v>0</v>
      </c>
      <c r="J251" s="114"/>
      <c r="K251" s="114"/>
      <c r="O251" s="115"/>
      <c r="P251" s="116"/>
      <c r="Q251" s="116"/>
      <c r="R251" s="108"/>
    </row>
    <row r="252" spans="1:255" s="105" customFormat="1" ht="15" customHeight="1" outlineLevel="2" x14ac:dyDescent="0.25">
      <c r="B252" s="104"/>
      <c r="C252" s="104"/>
      <c r="D252" s="101"/>
      <c r="E252" s="101"/>
      <c r="F252" s="101"/>
      <c r="G252" s="101"/>
      <c r="H252" s="101"/>
      <c r="J252" s="114"/>
      <c r="K252" s="114"/>
      <c r="O252" s="115"/>
      <c r="P252" s="116"/>
      <c r="Q252" s="116"/>
      <c r="R252" s="108"/>
    </row>
    <row r="253" spans="1:255" s="42" customFormat="1" ht="15" customHeight="1" x14ac:dyDescent="0.25">
      <c r="A253" s="79"/>
      <c r="B253" s="80" t="s">
        <v>19</v>
      </c>
      <c r="C253" s="80">
        <f>C245+0.01</f>
        <v>7.0399999999999991</v>
      </c>
      <c r="D253" s="164" t="s">
        <v>66</v>
      </c>
      <c r="E253" s="163"/>
      <c r="F253" s="163"/>
      <c r="G253" s="163"/>
      <c r="H253" s="42">
        <f>ROUND(H255,0)</f>
        <v>3</v>
      </c>
      <c r="I253" s="100" t="s">
        <v>60</v>
      </c>
      <c r="J253" s="87">
        <f>M253/H253</f>
        <v>233.33333333333334</v>
      </c>
      <c r="K253" s="87">
        <v>2.6717557251908395</v>
      </c>
      <c r="M253" s="42">
        <f>ROUND(SUM(L253:L293),0)</f>
        <v>700</v>
      </c>
      <c r="N253" s="155"/>
      <c r="O253" s="82" t="s">
        <v>61</v>
      </c>
      <c r="P253" s="96"/>
      <c r="Q253" s="96">
        <f>M253</f>
        <v>700</v>
      </c>
      <c r="R253" s="84"/>
    </row>
    <row r="254" spans="1:255" s="105" customFormat="1" ht="15" customHeight="1" x14ac:dyDescent="0.25">
      <c r="A254" s="79"/>
      <c r="B254" s="80"/>
      <c r="C254" s="80"/>
      <c r="D254" s="101"/>
      <c r="E254" s="101"/>
      <c r="F254" s="101"/>
      <c r="G254" s="101"/>
      <c r="H254" s="101"/>
      <c r="I254" s="42"/>
      <c r="J254" s="87"/>
      <c r="K254" s="87"/>
      <c r="L254" s="42"/>
      <c r="M254" s="42"/>
      <c r="N254" s="42"/>
      <c r="O254" s="82"/>
      <c r="P254" s="96"/>
      <c r="Q254" s="96"/>
      <c r="R254" s="84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2"/>
      <c r="BR254" s="42"/>
      <c r="BS254" s="42"/>
      <c r="BT254" s="42"/>
      <c r="BU254" s="42"/>
      <c r="BV254" s="42"/>
      <c r="BW254" s="42"/>
      <c r="BX254" s="42"/>
      <c r="BY254" s="42"/>
      <c r="BZ254" s="42"/>
      <c r="CA254" s="42"/>
      <c r="CB254" s="42"/>
      <c r="CC254" s="42"/>
      <c r="CD254" s="42"/>
      <c r="CE254" s="42"/>
      <c r="CF254" s="42"/>
      <c r="CG254" s="42"/>
      <c r="CH254" s="42"/>
      <c r="CI254" s="42"/>
      <c r="CJ254" s="42"/>
      <c r="CK254" s="42"/>
      <c r="CL254" s="42"/>
      <c r="CM254" s="42"/>
      <c r="CN254" s="42"/>
      <c r="CO254" s="42"/>
      <c r="CP254" s="42"/>
      <c r="CQ254" s="42"/>
      <c r="CR254" s="42"/>
      <c r="CS254" s="42"/>
      <c r="CT254" s="42"/>
      <c r="CU254" s="42"/>
      <c r="CV254" s="42"/>
      <c r="CW254" s="42"/>
      <c r="CX254" s="42"/>
      <c r="CY254" s="42"/>
      <c r="CZ254" s="42"/>
      <c r="DA254" s="42"/>
      <c r="DB254" s="42"/>
      <c r="DC254" s="42"/>
      <c r="DD254" s="42"/>
      <c r="DE254" s="42"/>
      <c r="DF254" s="42"/>
      <c r="DG254" s="42"/>
      <c r="DH254" s="42"/>
      <c r="DI254" s="42"/>
      <c r="DJ254" s="42"/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42"/>
      <c r="DW254" s="42"/>
      <c r="DX254" s="42"/>
      <c r="DY254" s="42"/>
      <c r="DZ254" s="42"/>
      <c r="EA254" s="42"/>
      <c r="EB254" s="42"/>
      <c r="EC254" s="42"/>
      <c r="ED254" s="42"/>
      <c r="EE254" s="42"/>
      <c r="EF254" s="42"/>
      <c r="EG254" s="42"/>
      <c r="EH254" s="42"/>
      <c r="EI254" s="42"/>
      <c r="EJ254" s="42"/>
      <c r="EK254" s="42"/>
      <c r="EL254" s="42"/>
      <c r="EM254" s="42"/>
      <c r="EN254" s="42"/>
      <c r="EO254" s="42"/>
      <c r="EP254" s="42"/>
      <c r="EQ254" s="42"/>
      <c r="ER254" s="42"/>
      <c r="ES254" s="42"/>
      <c r="ET254" s="42"/>
      <c r="EU254" s="42"/>
      <c r="EV254" s="42"/>
      <c r="EW254" s="42"/>
      <c r="EX254" s="42"/>
      <c r="EY254" s="42"/>
      <c r="EZ254" s="42"/>
      <c r="FA254" s="42"/>
      <c r="FB254" s="42"/>
      <c r="FC254" s="42"/>
      <c r="FD254" s="42"/>
      <c r="FE254" s="42"/>
      <c r="FF254" s="42"/>
      <c r="FG254" s="42"/>
      <c r="FH254" s="42"/>
      <c r="FI254" s="42"/>
      <c r="FJ254" s="42"/>
      <c r="FK254" s="42"/>
      <c r="FL254" s="42"/>
      <c r="FM254" s="42"/>
      <c r="FN254" s="42"/>
      <c r="FO254" s="42"/>
      <c r="FP254" s="42"/>
      <c r="FQ254" s="42"/>
      <c r="FR254" s="42"/>
      <c r="FS254" s="42"/>
      <c r="FT254" s="42"/>
      <c r="FU254" s="42"/>
      <c r="FV254" s="42"/>
      <c r="FW254" s="42"/>
      <c r="FX254" s="42"/>
      <c r="FY254" s="42"/>
      <c r="FZ254" s="42"/>
      <c r="GA254" s="42"/>
      <c r="GB254" s="42"/>
      <c r="GC254" s="42"/>
      <c r="GD254" s="42"/>
      <c r="GE254" s="42"/>
      <c r="GF254" s="42"/>
      <c r="GG254" s="42"/>
      <c r="GH254" s="42"/>
      <c r="GI254" s="42"/>
      <c r="GJ254" s="42"/>
      <c r="GK254" s="42"/>
      <c r="GL254" s="42"/>
      <c r="GM254" s="42"/>
      <c r="GN254" s="42"/>
      <c r="GO254" s="42"/>
      <c r="GP254" s="42"/>
      <c r="GQ254" s="42"/>
      <c r="GR254" s="42"/>
      <c r="GS254" s="42"/>
      <c r="GT254" s="42"/>
      <c r="GU254" s="42"/>
      <c r="GV254" s="42"/>
      <c r="GW254" s="42"/>
      <c r="GX254" s="42"/>
      <c r="GY254" s="42"/>
      <c r="GZ254" s="42"/>
      <c r="HA254" s="42"/>
      <c r="HB254" s="42"/>
      <c r="HC254" s="42"/>
      <c r="HD254" s="42"/>
      <c r="HE254" s="42"/>
      <c r="HF254" s="42"/>
      <c r="HG254" s="42"/>
      <c r="HH254" s="42"/>
      <c r="HI254" s="42"/>
      <c r="HJ254" s="42"/>
      <c r="HK254" s="42"/>
      <c r="HL254" s="42"/>
      <c r="HM254" s="42"/>
      <c r="HN254" s="42"/>
      <c r="HO254" s="42"/>
      <c r="HP254" s="42"/>
      <c r="HQ254" s="42"/>
      <c r="HR254" s="42"/>
      <c r="HS254" s="42"/>
      <c r="HT254" s="42"/>
      <c r="HU254" s="42"/>
      <c r="HV254" s="42"/>
      <c r="HW254" s="42"/>
      <c r="HX254" s="42"/>
      <c r="HY254" s="42"/>
      <c r="HZ254" s="42"/>
      <c r="IA254" s="42"/>
      <c r="IB254" s="42"/>
      <c r="IC254" s="42"/>
      <c r="ID254" s="42"/>
      <c r="IE254" s="42"/>
      <c r="IF254" s="42"/>
      <c r="IG254" s="42"/>
      <c r="IH254" s="42"/>
      <c r="II254" s="42"/>
      <c r="IJ254" s="42"/>
      <c r="IK254" s="42"/>
      <c r="IL254" s="42"/>
      <c r="IM254" s="42"/>
      <c r="IN254" s="42"/>
      <c r="IO254" s="42"/>
      <c r="IP254" s="42"/>
      <c r="IQ254" s="42"/>
      <c r="IR254" s="42"/>
      <c r="IS254" s="42"/>
      <c r="IT254" s="42"/>
      <c r="IU254" s="42"/>
    </row>
    <row r="255" spans="1:255" s="42" customFormat="1" ht="15" customHeight="1" outlineLevel="2" x14ac:dyDescent="0.25">
      <c r="A255" s="79"/>
      <c r="B255" s="80"/>
      <c r="C255" s="80"/>
      <c r="D255" s="101"/>
      <c r="E255" s="101"/>
      <c r="F255" s="101"/>
      <c r="G255" s="101"/>
      <c r="H255" s="101">
        <f>SUM(H257:H262)</f>
        <v>3</v>
      </c>
      <c r="K255" s="87"/>
      <c r="O255" s="82"/>
      <c r="P255" s="96"/>
      <c r="Q255" s="96"/>
      <c r="R255" s="84"/>
    </row>
    <row r="256" spans="1:255" s="42" customFormat="1" ht="15" customHeight="1" outlineLevel="2" x14ac:dyDescent="0.25">
      <c r="A256" s="79"/>
      <c r="B256" s="80"/>
      <c r="C256" s="80"/>
      <c r="D256" s="101"/>
      <c r="E256" s="101"/>
      <c r="F256" s="101"/>
      <c r="G256" s="101"/>
      <c r="H256" s="101"/>
      <c r="K256" s="87"/>
      <c r="O256" s="82"/>
      <c r="P256" s="96"/>
      <c r="Q256" s="96"/>
      <c r="R256" s="84"/>
    </row>
    <row r="257" spans="1:255" s="42" customFormat="1" ht="15" customHeight="1" outlineLevel="2" x14ac:dyDescent="0.25">
      <c r="A257" s="79"/>
      <c r="B257" s="80"/>
      <c r="C257" s="80"/>
      <c r="D257" s="101">
        <v>1</v>
      </c>
      <c r="E257" s="101">
        <v>1</v>
      </c>
      <c r="F257" s="101">
        <f>H264</f>
        <v>1</v>
      </c>
      <c r="G257" s="101">
        <v>1</v>
      </c>
      <c r="H257" s="101">
        <f t="shared" ref="H257:H259" si="18">D257*E257*F257*G257</f>
        <v>1</v>
      </c>
      <c r="I257" s="44" t="s">
        <v>67</v>
      </c>
      <c r="O257" s="82"/>
      <c r="P257" s="96"/>
      <c r="Q257" s="96"/>
      <c r="R257" s="84"/>
    </row>
    <row r="258" spans="1:255" s="42" customFormat="1" ht="15" customHeight="1" outlineLevel="2" x14ac:dyDescent="0.25">
      <c r="A258" s="79"/>
      <c r="B258" s="80"/>
      <c r="C258" s="80"/>
      <c r="D258" s="101">
        <v>1</v>
      </c>
      <c r="E258" s="101">
        <v>1</v>
      </c>
      <c r="F258" s="101">
        <f>H275</f>
        <v>1</v>
      </c>
      <c r="G258" s="101">
        <v>1</v>
      </c>
      <c r="H258" s="101">
        <f t="shared" si="18"/>
        <v>1</v>
      </c>
      <c r="I258" s="44" t="s">
        <v>68</v>
      </c>
      <c r="L258" s="44"/>
      <c r="M258" s="44"/>
      <c r="N258" s="44"/>
      <c r="O258" s="126"/>
      <c r="P258" s="127"/>
      <c r="Q258" s="127"/>
      <c r="R258" s="128"/>
      <c r="S258" s="44"/>
      <c r="T258" s="44"/>
      <c r="U258" s="44"/>
      <c r="V258" s="44"/>
      <c r="W258" s="44"/>
      <c r="X258" s="44"/>
      <c r="Y258" s="44"/>
      <c r="Z258" s="44"/>
    </row>
    <row r="259" spans="1:255" s="42" customFormat="1" ht="15" customHeight="1" outlineLevel="2" x14ac:dyDescent="0.25">
      <c r="A259" s="79"/>
      <c r="B259" s="80"/>
      <c r="C259" s="80"/>
      <c r="D259" s="101">
        <v>1</v>
      </c>
      <c r="E259" s="101">
        <v>1</v>
      </c>
      <c r="F259" s="101">
        <f>H285</f>
        <v>1</v>
      </c>
      <c r="G259" s="101">
        <v>1</v>
      </c>
      <c r="H259" s="101">
        <f t="shared" si="18"/>
        <v>1</v>
      </c>
      <c r="I259" s="42" t="s">
        <v>69</v>
      </c>
      <c r="L259" s="44"/>
      <c r="M259" s="44"/>
      <c r="N259" s="44"/>
      <c r="O259" s="126"/>
      <c r="P259" s="127"/>
      <c r="Q259" s="127"/>
      <c r="R259" s="128"/>
      <c r="S259" s="44"/>
      <c r="T259" s="44"/>
      <c r="U259" s="44"/>
      <c r="V259" s="44"/>
      <c r="W259" s="44"/>
      <c r="X259" s="44"/>
      <c r="Y259" s="44"/>
      <c r="Z259" s="44"/>
    </row>
    <row r="260" spans="1:255" s="42" customFormat="1" ht="15" customHeight="1" outlineLevel="2" x14ac:dyDescent="0.25">
      <c r="A260" s="79"/>
      <c r="B260" s="80"/>
      <c r="C260" s="80"/>
      <c r="D260" s="101"/>
      <c r="E260" s="101"/>
      <c r="F260" s="101"/>
      <c r="G260" s="101"/>
      <c r="H260" s="101"/>
      <c r="L260" s="44"/>
      <c r="M260" s="44"/>
      <c r="N260" s="44"/>
      <c r="O260" s="126"/>
      <c r="P260" s="44"/>
      <c r="Q260" s="44"/>
      <c r="R260" s="128"/>
      <c r="S260" s="44"/>
      <c r="T260" s="44"/>
      <c r="U260" s="44"/>
      <c r="V260" s="44"/>
      <c r="W260" s="44"/>
      <c r="X260" s="44"/>
      <c r="Y260" s="44"/>
      <c r="Z260" s="44"/>
    </row>
    <row r="261" spans="1:255" s="42" customFormat="1" ht="15" customHeight="1" outlineLevel="2" x14ac:dyDescent="0.25">
      <c r="A261" s="79"/>
      <c r="B261" s="80"/>
      <c r="C261" s="80"/>
      <c r="D261" s="101"/>
      <c r="E261" s="101"/>
      <c r="F261" s="101"/>
      <c r="G261" s="101"/>
      <c r="H261" s="101"/>
      <c r="L261" s="44"/>
      <c r="M261" s="44"/>
      <c r="N261" s="44"/>
      <c r="O261" s="126"/>
      <c r="P261" s="44"/>
      <c r="Q261" s="44"/>
      <c r="R261" s="128"/>
      <c r="S261" s="44"/>
      <c r="T261" s="44"/>
      <c r="U261" s="44"/>
      <c r="V261" s="44"/>
      <c r="W261" s="44"/>
      <c r="X261" s="44"/>
      <c r="Y261" s="44"/>
      <c r="Z261" s="44"/>
    </row>
    <row r="262" spans="1:255" s="42" customFormat="1" ht="15" customHeight="1" outlineLevel="2" x14ac:dyDescent="0.25">
      <c r="A262" s="79"/>
      <c r="B262" s="80"/>
      <c r="C262" s="80"/>
      <c r="D262" s="101"/>
      <c r="E262" s="101"/>
      <c r="F262" s="101"/>
      <c r="G262" s="101"/>
      <c r="H262" s="101"/>
      <c r="K262" s="87"/>
      <c r="O262" s="82"/>
      <c r="P262" s="96"/>
      <c r="Q262" s="96"/>
      <c r="R262" s="84"/>
    </row>
    <row r="263" spans="1:255" s="105" customFormat="1" ht="15" customHeight="1" outlineLevel="2" x14ac:dyDescent="0.25">
      <c r="A263" s="79"/>
      <c r="B263" s="80"/>
      <c r="C263" s="80"/>
      <c r="D263" s="101"/>
      <c r="E263" s="101"/>
      <c r="F263" s="101"/>
      <c r="G263" s="101"/>
      <c r="H263" s="101"/>
      <c r="I263" s="44"/>
      <c r="J263" s="87"/>
      <c r="K263" s="87"/>
      <c r="L263" s="42"/>
      <c r="M263" s="42"/>
      <c r="N263" s="42"/>
      <c r="O263" s="82"/>
      <c r="P263" s="96"/>
      <c r="Q263" s="96"/>
      <c r="R263" s="84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  <c r="BO263" s="42"/>
      <c r="BP263" s="42"/>
      <c r="BQ263" s="42"/>
      <c r="BR263" s="42"/>
      <c r="BS263" s="42"/>
      <c r="BT263" s="42"/>
      <c r="BU263" s="42"/>
      <c r="BV263" s="42"/>
      <c r="BW263" s="42"/>
      <c r="BX263" s="42"/>
      <c r="BY263" s="42"/>
      <c r="BZ263" s="42"/>
      <c r="CA263" s="42"/>
      <c r="CB263" s="42"/>
      <c r="CC263" s="42"/>
      <c r="CD263" s="42"/>
      <c r="CE263" s="42"/>
      <c r="CF263" s="42"/>
      <c r="CG263" s="42"/>
      <c r="CH263" s="42"/>
      <c r="CI263" s="42"/>
      <c r="CJ263" s="42"/>
      <c r="CK263" s="42"/>
      <c r="CL263" s="42"/>
      <c r="CM263" s="42"/>
      <c r="CN263" s="42"/>
      <c r="CO263" s="42"/>
      <c r="CP263" s="42"/>
      <c r="CQ263" s="42"/>
      <c r="CR263" s="42"/>
      <c r="CS263" s="42"/>
      <c r="CT263" s="42"/>
      <c r="CU263" s="42"/>
      <c r="CV263" s="42"/>
      <c r="CW263" s="42"/>
      <c r="CX263" s="42"/>
      <c r="CY263" s="42"/>
      <c r="CZ263" s="42"/>
      <c r="DA263" s="42"/>
      <c r="DB263" s="42"/>
      <c r="DC263" s="42"/>
      <c r="DD263" s="42"/>
      <c r="DE263" s="42"/>
      <c r="DF263" s="42"/>
      <c r="DG263" s="42"/>
      <c r="DH263" s="42"/>
      <c r="DI263" s="42"/>
      <c r="DJ263" s="42"/>
      <c r="DK263" s="42"/>
      <c r="DL263" s="42"/>
      <c r="DM263" s="42"/>
      <c r="DN263" s="42"/>
      <c r="DO263" s="42"/>
      <c r="DP263" s="42"/>
      <c r="DQ263" s="42"/>
      <c r="DR263" s="42"/>
      <c r="DS263" s="42"/>
      <c r="DT263" s="42"/>
      <c r="DU263" s="42"/>
      <c r="DV263" s="42"/>
      <c r="DW263" s="42"/>
      <c r="DX263" s="42"/>
      <c r="DY263" s="42"/>
      <c r="DZ263" s="42"/>
      <c r="EA263" s="42"/>
      <c r="EB263" s="42"/>
      <c r="EC263" s="42"/>
      <c r="ED263" s="42"/>
      <c r="EE263" s="42"/>
      <c r="EF263" s="42"/>
      <c r="EG263" s="42"/>
      <c r="EH263" s="42"/>
      <c r="EI263" s="42"/>
      <c r="EJ263" s="42"/>
      <c r="EK263" s="42"/>
      <c r="EL263" s="42"/>
      <c r="EM263" s="42"/>
      <c r="EN263" s="42"/>
      <c r="EO263" s="42"/>
      <c r="EP263" s="42"/>
      <c r="EQ263" s="42"/>
      <c r="ER263" s="42"/>
      <c r="ES263" s="42"/>
      <c r="ET263" s="42"/>
      <c r="EU263" s="42"/>
      <c r="EV263" s="42"/>
      <c r="EW263" s="42"/>
      <c r="EX263" s="42"/>
      <c r="EY263" s="42"/>
      <c r="EZ263" s="42"/>
      <c r="FA263" s="42"/>
      <c r="FB263" s="42"/>
      <c r="FC263" s="42"/>
      <c r="FD263" s="42"/>
      <c r="FE263" s="42"/>
      <c r="FF263" s="42"/>
      <c r="FG263" s="42"/>
      <c r="FH263" s="42"/>
      <c r="FI263" s="42"/>
      <c r="FJ263" s="42"/>
      <c r="FK263" s="42"/>
      <c r="FL263" s="42"/>
      <c r="FM263" s="42"/>
      <c r="FN263" s="42"/>
      <c r="FO263" s="42"/>
      <c r="FP263" s="42"/>
      <c r="FQ263" s="42"/>
      <c r="FR263" s="42"/>
      <c r="FS263" s="42"/>
      <c r="FT263" s="42"/>
      <c r="FU263" s="42"/>
      <c r="FV263" s="42"/>
      <c r="FW263" s="42"/>
      <c r="FX263" s="42"/>
      <c r="FY263" s="42"/>
      <c r="FZ263" s="42"/>
      <c r="GA263" s="42"/>
      <c r="GB263" s="42"/>
      <c r="GC263" s="42"/>
      <c r="GD263" s="42"/>
      <c r="GE263" s="42"/>
      <c r="GF263" s="42"/>
      <c r="GG263" s="42"/>
      <c r="GH263" s="42"/>
      <c r="GI263" s="42"/>
      <c r="GJ263" s="42"/>
      <c r="GK263" s="42"/>
      <c r="GL263" s="42"/>
      <c r="GM263" s="42"/>
      <c r="GN263" s="42"/>
      <c r="GO263" s="42"/>
      <c r="GP263" s="42"/>
      <c r="GQ263" s="42"/>
      <c r="GR263" s="42"/>
      <c r="GS263" s="42"/>
      <c r="GT263" s="42"/>
      <c r="GU263" s="42"/>
      <c r="GV263" s="42"/>
      <c r="GW263" s="42"/>
      <c r="GX263" s="42"/>
      <c r="GY263" s="42"/>
      <c r="GZ263" s="42"/>
      <c r="HA263" s="42"/>
      <c r="HB263" s="42"/>
      <c r="HC263" s="42"/>
      <c r="HD263" s="42"/>
      <c r="HE263" s="42"/>
      <c r="HF263" s="42"/>
      <c r="HG263" s="42"/>
      <c r="HH263" s="42"/>
      <c r="HI263" s="42"/>
      <c r="HJ263" s="42"/>
      <c r="HK263" s="42"/>
      <c r="HL263" s="42"/>
      <c r="HM263" s="42"/>
      <c r="HN263" s="42"/>
      <c r="HO263" s="42"/>
      <c r="HP263" s="42"/>
      <c r="HQ263" s="42"/>
      <c r="HR263" s="42"/>
      <c r="HS263" s="42"/>
      <c r="HT263" s="42"/>
      <c r="HU263" s="42"/>
      <c r="HV263" s="42"/>
      <c r="HW263" s="42"/>
      <c r="HX263" s="42"/>
      <c r="HY263" s="42"/>
      <c r="HZ263" s="42"/>
      <c r="IA263" s="42"/>
      <c r="IB263" s="42"/>
      <c r="IC263" s="42"/>
      <c r="ID263" s="42"/>
      <c r="IE263" s="42"/>
      <c r="IF263" s="42"/>
      <c r="IG263" s="42"/>
      <c r="IH263" s="42"/>
      <c r="II263" s="42"/>
      <c r="IJ263" s="42"/>
      <c r="IK263" s="42"/>
      <c r="IL263" s="42"/>
      <c r="IM263" s="42"/>
      <c r="IN263" s="42"/>
      <c r="IO263" s="42"/>
      <c r="IP263" s="42"/>
      <c r="IQ263" s="42"/>
      <c r="IR263" s="42"/>
      <c r="IS263" s="42"/>
      <c r="IT263" s="42"/>
      <c r="IU263" s="42"/>
    </row>
    <row r="264" spans="1:255" s="42" customFormat="1" ht="31.5" customHeight="1" outlineLevel="1" x14ac:dyDescent="0.25">
      <c r="A264" s="105"/>
      <c r="B264" s="104"/>
      <c r="C264" s="111">
        <f>C253+0.001</f>
        <v>7.0409999999999995</v>
      </c>
      <c r="D264" s="170" t="s">
        <v>70</v>
      </c>
      <c r="E264" s="167"/>
      <c r="F264" s="167"/>
      <c r="G264" s="167"/>
      <c r="H264" s="105">
        <f>ROUND(H266,0)</f>
        <v>1</v>
      </c>
      <c r="I264" s="113" t="s">
        <v>60</v>
      </c>
      <c r="J264" s="114">
        <v>250</v>
      </c>
      <c r="K264" s="114">
        <v>0.95419847328244278</v>
      </c>
      <c r="L264" s="105">
        <f>ROUND(+H264*J264,0)</f>
        <v>250</v>
      </c>
      <c r="M264" s="105"/>
      <c r="N264" s="105"/>
      <c r="O264" s="115"/>
      <c r="P264" s="116"/>
      <c r="Q264" s="116"/>
      <c r="R264" s="108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5"/>
      <c r="CQ264" s="105"/>
      <c r="CR264" s="105"/>
      <c r="CS264" s="105"/>
      <c r="CT264" s="105"/>
      <c r="CU264" s="105"/>
      <c r="CV264" s="105"/>
      <c r="CW264" s="105"/>
      <c r="CX264" s="105"/>
      <c r="CY264" s="105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5"/>
      <c r="EP264" s="105"/>
      <c r="EQ264" s="105"/>
      <c r="ER264" s="105"/>
      <c r="ES264" s="105"/>
      <c r="ET264" s="105"/>
      <c r="EU264" s="105"/>
      <c r="EV264" s="105"/>
      <c r="EW264" s="105"/>
      <c r="EX264" s="105"/>
      <c r="EY264" s="105"/>
      <c r="EZ264" s="105"/>
      <c r="FA264" s="105"/>
      <c r="FB264" s="105"/>
      <c r="FC264" s="105"/>
      <c r="FD264" s="105"/>
      <c r="FE264" s="105"/>
      <c r="FF264" s="105"/>
      <c r="FG264" s="105"/>
      <c r="FH264" s="105"/>
      <c r="FI264" s="105"/>
      <c r="FJ264" s="105"/>
      <c r="FK264" s="105"/>
      <c r="FL264" s="105"/>
      <c r="FM264" s="105"/>
      <c r="FN264" s="105"/>
      <c r="FO264" s="105"/>
      <c r="FP264" s="105"/>
      <c r="FQ264" s="105"/>
      <c r="FR264" s="105"/>
      <c r="FS264" s="105"/>
      <c r="FT264" s="105"/>
      <c r="FU264" s="105"/>
      <c r="FV264" s="105"/>
      <c r="FW264" s="105"/>
      <c r="FX264" s="105"/>
      <c r="FY264" s="105"/>
      <c r="FZ264" s="105"/>
      <c r="GA264" s="105"/>
      <c r="GB264" s="105"/>
      <c r="GC264" s="105"/>
      <c r="GD264" s="105"/>
      <c r="GE264" s="105"/>
      <c r="GF264" s="105"/>
      <c r="GG264" s="105"/>
      <c r="GH264" s="105"/>
      <c r="GI264" s="105"/>
      <c r="GJ264" s="105"/>
      <c r="GK264" s="105"/>
      <c r="GL264" s="105"/>
      <c r="GM264" s="105"/>
      <c r="GN264" s="105"/>
      <c r="GO264" s="105"/>
      <c r="GP264" s="105"/>
      <c r="GQ264" s="105"/>
      <c r="GR264" s="105"/>
      <c r="GS264" s="105"/>
      <c r="GT264" s="105"/>
      <c r="GU264" s="105"/>
      <c r="GV264" s="105"/>
      <c r="GW264" s="105"/>
      <c r="GX264" s="105"/>
      <c r="GY264" s="105"/>
      <c r="GZ264" s="105"/>
      <c r="HA264" s="105"/>
      <c r="HB264" s="105"/>
      <c r="HC264" s="105"/>
      <c r="HD264" s="105"/>
      <c r="HE264" s="105"/>
      <c r="HF264" s="105"/>
      <c r="HG264" s="105"/>
      <c r="HH264" s="105"/>
      <c r="HI264" s="105"/>
      <c r="HJ264" s="105"/>
      <c r="HK264" s="105"/>
      <c r="HL264" s="105"/>
      <c r="HM264" s="105"/>
      <c r="HN264" s="105"/>
      <c r="HO264" s="105"/>
      <c r="HP264" s="105"/>
      <c r="HQ264" s="105"/>
      <c r="HR264" s="105"/>
      <c r="HS264" s="105"/>
      <c r="HT264" s="105"/>
      <c r="HU264" s="105"/>
      <c r="HV264" s="105"/>
      <c r="HW264" s="105"/>
      <c r="HX264" s="105"/>
      <c r="HY264" s="105"/>
      <c r="HZ264" s="105"/>
      <c r="IA264" s="105"/>
      <c r="IB264" s="105"/>
      <c r="IC264" s="105"/>
      <c r="ID264" s="105"/>
      <c r="IE264" s="105"/>
      <c r="IF264" s="105"/>
      <c r="IG264" s="105"/>
      <c r="IH264" s="105"/>
      <c r="II264" s="105"/>
      <c r="IJ264" s="105"/>
      <c r="IK264" s="105"/>
      <c r="IL264" s="105"/>
      <c r="IM264" s="105"/>
      <c r="IN264" s="105"/>
      <c r="IO264" s="105"/>
      <c r="IP264" s="105"/>
      <c r="IQ264" s="105"/>
      <c r="IR264" s="105"/>
      <c r="IS264" s="105"/>
      <c r="IT264" s="105"/>
      <c r="IU264" s="105"/>
    </row>
    <row r="265" spans="1:255" s="42" customFormat="1" ht="15" customHeight="1" outlineLevel="1" x14ac:dyDescent="0.25">
      <c r="A265" s="79"/>
      <c r="B265" s="80"/>
      <c r="C265" s="80"/>
      <c r="D265" s="109"/>
      <c r="E265" s="109"/>
      <c r="F265" s="109"/>
      <c r="G265" s="109"/>
      <c r="H265" s="101"/>
      <c r="J265" s="87"/>
      <c r="K265" s="87"/>
      <c r="O265" s="82"/>
      <c r="P265" s="96"/>
      <c r="Q265" s="96"/>
      <c r="R265" s="84"/>
    </row>
    <row r="266" spans="1:255" s="42" customFormat="1" ht="15" customHeight="1" outlineLevel="2" x14ac:dyDescent="0.25">
      <c r="A266" s="79"/>
      <c r="B266" s="80"/>
      <c r="C266" s="80"/>
      <c r="D266" s="101"/>
      <c r="E266" s="101"/>
      <c r="F266" s="101"/>
      <c r="G266" s="101"/>
      <c r="H266" s="101">
        <f>SUM(H268:H274)</f>
        <v>1</v>
      </c>
      <c r="K266" s="87"/>
      <c r="O266" s="82"/>
      <c r="P266" s="96"/>
      <c r="Q266" s="96"/>
      <c r="R266" s="84"/>
    </row>
    <row r="267" spans="1:255" s="42" customFormat="1" ht="15" customHeight="1" outlineLevel="2" x14ac:dyDescent="0.25">
      <c r="A267" s="79"/>
      <c r="B267" s="80"/>
      <c r="C267" s="80"/>
      <c r="D267" s="101"/>
      <c r="E267" s="101"/>
      <c r="F267" s="101"/>
      <c r="G267" s="101"/>
      <c r="H267" s="101"/>
      <c r="K267" s="87"/>
      <c r="O267" s="82"/>
      <c r="P267" s="96"/>
      <c r="Q267" s="96"/>
      <c r="R267" s="84"/>
    </row>
    <row r="268" spans="1:255" s="42" customFormat="1" ht="15" customHeight="1" outlineLevel="2" x14ac:dyDescent="0.25">
      <c r="A268" s="79"/>
      <c r="B268" s="80"/>
      <c r="C268" s="80"/>
      <c r="D268" s="101">
        <v>1</v>
      </c>
      <c r="E268" s="101">
        <v>1</v>
      </c>
      <c r="F268" s="101">
        <v>1</v>
      </c>
      <c r="G268" s="101">
        <v>1</v>
      </c>
      <c r="H268" s="101">
        <f t="shared" ref="H268:H270" si="19">D268*E268*F268*G268</f>
        <v>1</v>
      </c>
      <c r="J268" s="87"/>
      <c r="K268" s="87"/>
      <c r="O268" s="82"/>
      <c r="P268" s="96"/>
      <c r="Q268" s="96"/>
      <c r="R268" s="84"/>
    </row>
    <row r="269" spans="1:255" s="42" customFormat="1" ht="15" customHeight="1" outlineLevel="2" x14ac:dyDescent="0.25">
      <c r="A269" s="79"/>
      <c r="B269" s="80"/>
      <c r="C269" s="80"/>
      <c r="D269" s="101">
        <v>1</v>
      </c>
      <c r="E269" s="101">
        <v>0</v>
      </c>
      <c r="F269" s="101">
        <v>1</v>
      </c>
      <c r="G269" s="101">
        <v>1</v>
      </c>
      <c r="H269" s="101">
        <f t="shared" si="19"/>
        <v>0</v>
      </c>
      <c r="J269" s="87"/>
      <c r="K269" s="87"/>
      <c r="O269" s="82"/>
      <c r="P269" s="96"/>
      <c r="Q269" s="96"/>
      <c r="R269" s="84"/>
    </row>
    <row r="270" spans="1:255" s="42" customFormat="1" ht="15" customHeight="1" outlineLevel="2" x14ac:dyDescent="0.25">
      <c r="A270" s="79"/>
      <c r="B270" s="80"/>
      <c r="C270" s="80"/>
      <c r="D270" s="101">
        <v>1</v>
      </c>
      <c r="E270" s="101">
        <v>0</v>
      </c>
      <c r="F270" s="101">
        <v>1</v>
      </c>
      <c r="G270" s="101">
        <v>1</v>
      </c>
      <c r="H270" s="101">
        <f t="shared" si="19"/>
        <v>0</v>
      </c>
      <c r="J270" s="87"/>
      <c r="K270" s="87"/>
      <c r="O270" s="82"/>
      <c r="P270" s="96"/>
      <c r="Q270" s="96"/>
      <c r="R270" s="84"/>
    </row>
    <row r="271" spans="1:255" s="42" customFormat="1" ht="15" customHeight="1" outlineLevel="2" x14ac:dyDescent="0.25">
      <c r="A271" s="79"/>
      <c r="B271" s="80"/>
      <c r="C271" s="80"/>
      <c r="D271" s="101">
        <v>1</v>
      </c>
      <c r="E271" s="101"/>
      <c r="F271" s="101">
        <v>1</v>
      </c>
      <c r="G271" s="101">
        <v>1</v>
      </c>
      <c r="H271" s="101">
        <f>D271*E271*F271*G271</f>
        <v>0</v>
      </c>
      <c r="J271" s="87"/>
      <c r="K271" s="87"/>
      <c r="O271" s="82"/>
      <c r="P271" s="96"/>
      <c r="Q271" s="96"/>
      <c r="R271" s="84"/>
    </row>
    <row r="272" spans="1:255" s="42" customFormat="1" ht="15" customHeight="1" outlineLevel="2" x14ac:dyDescent="0.25">
      <c r="A272" s="79"/>
      <c r="B272" s="80"/>
      <c r="C272" s="80"/>
      <c r="D272" s="101">
        <v>1</v>
      </c>
      <c r="E272" s="101"/>
      <c r="F272" s="101">
        <v>1</v>
      </c>
      <c r="G272" s="101">
        <v>1</v>
      </c>
      <c r="H272" s="101">
        <f>D272*E272*F272*G272</f>
        <v>0</v>
      </c>
      <c r="J272" s="87"/>
      <c r="K272" s="87"/>
      <c r="O272" s="82"/>
      <c r="P272" s="96"/>
      <c r="Q272" s="96"/>
      <c r="R272" s="84"/>
    </row>
    <row r="273" spans="1:255" s="42" customFormat="1" ht="15" customHeight="1" outlineLevel="2" x14ac:dyDescent="0.25">
      <c r="A273" s="79"/>
      <c r="B273" s="80"/>
      <c r="C273" s="80"/>
      <c r="D273" s="101">
        <v>1</v>
      </c>
      <c r="E273" s="101"/>
      <c r="F273" s="101">
        <v>1</v>
      </c>
      <c r="G273" s="101">
        <v>1</v>
      </c>
      <c r="H273" s="101">
        <f>D273*E273*F273*G273</f>
        <v>0</v>
      </c>
      <c r="J273" s="87"/>
      <c r="K273" s="87"/>
      <c r="O273" s="82"/>
      <c r="P273" s="96"/>
      <c r="Q273" s="96"/>
      <c r="R273" s="84"/>
    </row>
    <row r="274" spans="1:255" s="42" customFormat="1" ht="15" customHeight="1" outlineLevel="2" x14ac:dyDescent="0.25">
      <c r="A274" s="79"/>
      <c r="B274" s="80"/>
      <c r="C274" s="80"/>
      <c r="D274" s="109"/>
      <c r="E274" s="109"/>
      <c r="F274" s="109"/>
      <c r="G274" s="109"/>
      <c r="H274" s="101"/>
      <c r="J274" s="87"/>
      <c r="K274" s="87"/>
      <c r="O274" s="82"/>
      <c r="P274" s="96"/>
      <c r="Q274" s="96"/>
      <c r="R274" s="84"/>
    </row>
    <row r="275" spans="1:255" s="42" customFormat="1" ht="44.25" customHeight="1" outlineLevel="1" x14ac:dyDescent="0.25">
      <c r="A275" s="105"/>
      <c r="B275" s="104"/>
      <c r="C275" s="111">
        <f>C264+0.001</f>
        <v>7.0419999999999998</v>
      </c>
      <c r="D275" s="170" t="s">
        <v>71</v>
      </c>
      <c r="E275" s="167"/>
      <c r="F275" s="167"/>
      <c r="G275" s="167"/>
      <c r="H275" s="105">
        <f>ROUND(H277,0)</f>
        <v>1</v>
      </c>
      <c r="I275" s="113" t="s">
        <v>60</v>
      </c>
      <c r="J275" s="114">
        <v>250</v>
      </c>
      <c r="K275" s="114">
        <v>0.95419847328244278</v>
      </c>
      <c r="L275" s="105">
        <f>ROUND(+H275*J275,0)</f>
        <v>250</v>
      </c>
      <c r="M275" s="105"/>
      <c r="N275" s="105"/>
      <c r="O275" s="115"/>
      <c r="P275" s="116"/>
      <c r="Q275" s="116"/>
      <c r="R275" s="108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5"/>
      <c r="FX275" s="105"/>
      <c r="FY275" s="105"/>
      <c r="FZ275" s="105"/>
      <c r="GA275" s="105"/>
      <c r="GB275" s="105"/>
      <c r="GC275" s="105"/>
      <c r="GD275" s="105"/>
      <c r="GE275" s="105"/>
      <c r="GF275" s="105"/>
      <c r="GG275" s="105"/>
      <c r="GH275" s="105"/>
      <c r="GI275" s="105"/>
      <c r="GJ275" s="105"/>
      <c r="GK275" s="105"/>
      <c r="GL275" s="105"/>
      <c r="GM275" s="105"/>
      <c r="GN275" s="105"/>
      <c r="GO275" s="105"/>
      <c r="GP275" s="105"/>
      <c r="GQ275" s="105"/>
      <c r="GR275" s="105"/>
      <c r="GS275" s="105"/>
      <c r="GT275" s="105"/>
      <c r="GU275" s="105"/>
      <c r="GV275" s="105"/>
      <c r="GW275" s="105"/>
      <c r="GX275" s="105"/>
      <c r="GY275" s="105"/>
      <c r="GZ275" s="105"/>
      <c r="HA275" s="105"/>
      <c r="HB275" s="105"/>
      <c r="HC275" s="105"/>
      <c r="HD275" s="105"/>
      <c r="HE275" s="105"/>
      <c r="HF275" s="105"/>
      <c r="HG275" s="105"/>
      <c r="HH275" s="105"/>
      <c r="HI275" s="105"/>
      <c r="HJ275" s="105"/>
      <c r="HK275" s="105"/>
      <c r="HL275" s="105"/>
      <c r="HM275" s="105"/>
      <c r="HN275" s="105"/>
      <c r="HO275" s="105"/>
      <c r="HP275" s="105"/>
      <c r="HQ275" s="105"/>
      <c r="HR275" s="105"/>
      <c r="HS275" s="105"/>
      <c r="HT275" s="105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  <c r="IN275" s="105"/>
      <c r="IO275" s="105"/>
      <c r="IP275" s="105"/>
      <c r="IQ275" s="105"/>
      <c r="IR275" s="105"/>
      <c r="IS275" s="105"/>
      <c r="IT275" s="105"/>
      <c r="IU275" s="105"/>
    </row>
    <row r="276" spans="1:255" s="42" customFormat="1" ht="15" customHeight="1" outlineLevel="1" x14ac:dyDescent="0.25">
      <c r="A276" s="79"/>
      <c r="B276" s="80"/>
      <c r="C276" s="80"/>
      <c r="D276" s="129"/>
      <c r="E276" s="129"/>
      <c r="F276" s="129"/>
      <c r="G276" s="129"/>
      <c r="H276" s="130"/>
      <c r="J276" s="87"/>
      <c r="K276" s="87"/>
      <c r="O276" s="82"/>
      <c r="P276" s="96"/>
      <c r="Q276" s="96"/>
      <c r="R276" s="84"/>
    </row>
    <row r="277" spans="1:255" s="42" customFormat="1" ht="15" customHeight="1" outlineLevel="2" x14ac:dyDescent="0.25">
      <c r="A277" s="79"/>
      <c r="B277" s="80"/>
      <c r="C277" s="80"/>
      <c r="D277" s="101"/>
      <c r="E277" s="101"/>
      <c r="F277" s="101"/>
      <c r="G277" s="101"/>
      <c r="H277" s="101">
        <f>SUM(H279:H284)</f>
        <v>1</v>
      </c>
      <c r="K277" s="87"/>
      <c r="O277" s="82"/>
      <c r="P277" s="96"/>
      <c r="Q277" s="96"/>
      <c r="R277" s="84"/>
    </row>
    <row r="278" spans="1:255" s="42" customFormat="1" ht="15" customHeight="1" outlineLevel="2" x14ac:dyDescent="0.25">
      <c r="A278" s="79"/>
      <c r="B278" s="80"/>
      <c r="C278" s="80"/>
      <c r="D278" s="101"/>
      <c r="E278" s="101"/>
      <c r="F278" s="101"/>
      <c r="G278" s="101"/>
      <c r="H278" s="101"/>
      <c r="K278" s="87"/>
      <c r="O278" s="82"/>
      <c r="P278" s="96"/>
      <c r="Q278" s="96"/>
      <c r="R278" s="84"/>
    </row>
    <row r="279" spans="1:255" s="105" customFormat="1" ht="15" customHeight="1" outlineLevel="2" x14ac:dyDescent="0.25">
      <c r="B279" s="104"/>
      <c r="C279" s="104"/>
      <c r="D279" s="101">
        <v>1</v>
      </c>
      <c r="E279" s="101">
        <v>1</v>
      </c>
      <c r="F279" s="101">
        <v>1</v>
      </c>
      <c r="G279" s="101">
        <v>1</v>
      </c>
      <c r="H279" s="101">
        <f t="shared" ref="H279:H281" si="20">D279*E279*F279*G279</f>
        <v>1</v>
      </c>
      <c r="I279" s="42"/>
      <c r="J279" s="114"/>
      <c r="K279" s="114"/>
      <c r="O279" s="115"/>
      <c r="P279" s="116"/>
      <c r="Q279" s="116"/>
      <c r="R279" s="108"/>
    </row>
    <row r="280" spans="1:255" s="105" customFormat="1" ht="15" customHeight="1" outlineLevel="2" x14ac:dyDescent="0.25">
      <c r="B280" s="104"/>
      <c r="C280" s="104"/>
      <c r="D280" s="101">
        <v>1</v>
      </c>
      <c r="E280" s="101">
        <v>0</v>
      </c>
      <c r="F280" s="101">
        <v>1</v>
      </c>
      <c r="G280" s="101">
        <v>1</v>
      </c>
      <c r="H280" s="101">
        <f t="shared" si="20"/>
        <v>0</v>
      </c>
      <c r="I280" s="42"/>
      <c r="J280" s="114"/>
      <c r="K280" s="114"/>
      <c r="O280" s="115"/>
      <c r="P280" s="116"/>
      <c r="Q280" s="116"/>
      <c r="R280" s="108"/>
    </row>
    <row r="281" spans="1:255" s="105" customFormat="1" ht="15" customHeight="1" outlineLevel="2" x14ac:dyDescent="0.25">
      <c r="B281" s="104"/>
      <c r="C281" s="104"/>
      <c r="D281" s="101">
        <v>1</v>
      </c>
      <c r="E281" s="101">
        <v>0</v>
      </c>
      <c r="F281" s="101">
        <v>1</v>
      </c>
      <c r="G281" s="101">
        <v>1</v>
      </c>
      <c r="H281" s="101">
        <f t="shared" si="20"/>
        <v>0</v>
      </c>
      <c r="I281" s="42"/>
      <c r="J281" s="114"/>
      <c r="K281" s="114"/>
      <c r="O281" s="115"/>
      <c r="P281" s="116"/>
      <c r="Q281" s="116"/>
      <c r="R281" s="108"/>
    </row>
    <row r="282" spans="1:255" s="42" customFormat="1" ht="15" customHeight="1" outlineLevel="2" x14ac:dyDescent="0.25">
      <c r="A282" s="79"/>
      <c r="B282" s="80"/>
      <c r="C282" s="80"/>
      <c r="D282" s="101">
        <v>1</v>
      </c>
      <c r="E282" s="101"/>
      <c r="F282" s="101">
        <v>1</v>
      </c>
      <c r="G282" s="101">
        <v>1</v>
      </c>
      <c r="H282" s="101">
        <f>D282*E282*F282*G282</f>
        <v>0</v>
      </c>
      <c r="J282" s="87"/>
      <c r="K282" s="87"/>
      <c r="O282" s="82"/>
      <c r="P282" s="96"/>
      <c r="Q282" s="96"/>
      <c r="R282" s="84"/>
    </row>
    <row r="283" spans="1:255" s="105" customFormat="1" ht="15" customHeight="1" outlineLevel="2" x14ac:dyDescent="0.25">
      <c r="B283" s="104"/>
      <c r="C283" s="104"/>
      <c r="D283" s="101">
        <v>1</v>
      </c>
      <c r="E283" s="101"/>
      <c r="F283" s="101">
        <v>1</v>
      </c>
      <c r="G283" s="101">
        <v>1</v>
      </c>
      <c r="H283" s="101">
        <f t="shared" ref="H283" si="21">G283*F283*E283*D283</f>
        <v>0</v>
      </c>
      <c r="I283" s="42"/>
      <c r="J283" s="114"/>
      <c r="K283" s="114"/>
      <c r="O283" s="115"/>
      <c r="P283" s="116"/>
      <c r="Q283" s="116"/>
      <c r="R283" s="108"/>
    </row>
    <row r="284" spans="1:255" s="105" customFormat="1" ht="15" customHeight="1" outlineLevel="2" x14ac:dyDescent="0.25">
      <c r="B284" s="104"/>
      <c r="C284" s="104"/>
      <c r="D284" s="109"/>
      <c r="E284" s="109"/>
      <c r="F284" s="109"/>
      <c r="G284" s="109"/>
      <c r="H284" s="101"/>
      <c r="J284" s="114"/>
      <c r="K284" s="114"/>
      <c r="O284" s="115"/>
      <c r="P284" s="116"/>
      <c r="Q284" s="116"/>
      <c r="R284" s="108"/>
    </row>
    <row r="285" spans="1:255" s="42" customFormat="1" ht="30" customHeight="1" outlineLevel="1" x14ac:dyDescent="0.25">
      <c r="A285" s="105"/>
      <c r="B285" s="104"/>
      <c r="C285" s="111">
        <f>C275+0.001</f>
        <v>7.0430000000000001</v>
      </c>
      <c r="D285" s="170" t="s">
        <v>72</v>
      </c>
      <c r="E285" s="167"/>
      <c r="F285" s="167"/>
      <c r="G285" s="167"/>
      <c r="H285" s="105">
        <f>ROUND(H287,0)</f>
        <v>1</v>
      </c>
      <c r="I285" s="113" t="s">
        <v>60</v>
      </c>
      <c r="J285" s="114">
        <v>200</v>
      </c>
      <c r="K285" s="114">
        <v>0.76335877862595425</v>
      </c>
      <c r="L285" s="105">
        <f>ROUND(+H285*J285,0)</f>
        <v>200</v>
      </c>
      <c r="M285" s="105"/>
      <c r="N285" s="105"/>
      <c r="O285" s="115"/>
      <c r="P285" s="116"/>
      <c r="Q285" s="116"/>
      <c r="R285" s="108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5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5"/>
      <c r="BY285" s="105"/>
      <c r="BZ285" s="105"/>
      <c r="CA285" s="105"/>
      <c r="CB285" s="105"/>
      <c r="CC285" s="105"/>
      <c r="CD285" s="105"/>
      <c r="CE285" s="105"/>
      <c r="CF285" s="105"/>
      <c r="CG285" s="105"/>
      <c r="CH285" s="105"/>
      <c r="CI285" s="105"/>
      <c r="CJ285" s="105"/>
      <c r="CK285" s="105"/>
      <c r="CL285" s="105"/>
      <c r="CM285" s="105"/>
      <c r="CN285" s="105"/>
      <c r="CO285" s="105"/>
      <c r="CP285" s="105"/>
      <c r="CQ285" s="105"/>
      <c r="CR285" s="105"/>
      <c r="CS285" s="105"/>
      <c r="CT285" s="105"/>
      <c r="CU285" s="105"/>
      <c r="CV285" s="105"/>
      <c r="CW285" s="105"/>
      <c r="CX285" s="105"/>
      <c r="CY285" s="105"/>
      <c r="CZ285" s="105"/>
      <c r="DA285" s="105"/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5"/>
      <c r="DP285" s="105"/>
      <c r="DQ285" s="105"/>
      <c r="DR285" s="105"/>
      <c r="DS285" s="105"/>
      <c r="DT285" s="105"/>
      <c r="DU285" s="105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105"/>
      <c r="EJ285" s="105"/>
      <c r="EK285" s="105"/>
      <c r="EL285" s="105"/>
      <c r="EM285" s="105"/>
      <c r="EN285" s="105"/>
      <c r="EO285" s="105"/>
      <c r="EP285" s="105"/>
      <c r="EQ285" s="105"/>
      <c r="ER285" s="105"/>
      <c r="ES285" s="105"/>
      <c r="ET285" s="105"/>
      <c r="EU285" s="105"/>
      <c r="EV285" s="105"/>
      <c r="EW285" s="105"/>
      <c r="EX285" s="105"/>
      <c r="EY285" s="105"/>
      <c r="EZ285" s="105"/>
      <c r="FA285" s="105"/>
      <c r="FB285" s="105"/>
      <c r="FC285" s="105"/>
      <c r="FD285" s="105"/>
      <c r="FE285" s="105"/>
      <c r="FF285" s="105"/>
      <c r="FG285" s="105"/>
      <c r="FH285" s="105"/>
      <c r="FI285" s="105"/>
      <c r="FJ285" s="105"/>
      <c r="FK285" s="105"/>
      <c r="FL285" s="105"/>
      <c r="FM285" s="105"/>
      <c r="FN285" s="105"/>
      <c r="FO285" s="105"/>
      <c r="FP285" s="105"/>
      <c r="FQ285" s="105"/>
      <c r="FR285" s="105"/>
      <c r="FS285" s="105"/>
      <c r="FT285" s="105"/>
      <c r="FU285" s="105"/>
      <c r="FV285" s="105"/>
      <c r="FW285" s="105"/>
      <c r="FX285" s="105"/>
      <c r="FY285" s="105"/>
      <c r="FZ285" s="105"/>
      <c r="GA285" s="105"/>
      <c r="GB285" s="105"/>
      <c r="GC285" s="105"/>
      <c r="GD285" s="105"/>
      <c r="GE285" s="105"/>
      <c r="GF285" s="105"/>
      <c r="GG285" s="105"/>
      <c r="GH285" s="105"/>
      <c r="GI285" s="105"/>
      <c r="GJ285" s="105"/>
      <c r="GK285" s="105"/>
      <c r="GL285" s="105"/>
      <c r="GM285" s="105"/>
      <c r="GN285" s="105"/>
      <c r="GO285" s="105"/>
      <c r="GP285" s="105"/>
      <c r="GQ285" s="105"/>
      <c r="GR285" s="105"/>
      <c r="GS285" s="105"/>
      <c r="GT285" s="105"/>
      <c r="GU285" s="105"/>
      <c r="GV285" s="105"/>
      <c r="GW285" s="105"/>
      <c r="GX285" s="105"/>
      <c r="GY285" s="105"/>
      <c r="GZ285" s="105"/>
      <c r="HA285" s="105"/>
      <c r="HB285" s="105"/>
      <c r="HC285" s="105"/>
      <c r="HD285" s="105"/>
      <c r="HE285" s="105"/>
      <c r="HF285" s="105"/>
      <c r="HG285" s="105"/>
      <c r="HH285" s="105"/>
      <c r="HI285" s="105"/>
      <c r="HJ285" s="105"/>
      <c r="HK285" s="105"/>
      <c r="HL285" s="105"/>
      <c r="HM285" s="105"/>
      <c r="HN285" s="105"/>
      <c r="HO285" s="105"/>
      <c r="HP285" s="105"/>
      <c r="HQ285" s="105"/>
      <c r="HR285" s="105"/>
      <c r="HS285" s="105"/>
      <c r="HT285" s="105"/>
      <c r="HU285" s="105"/>
      <c r="HV285" s="105"/>
      <c r="HW285" s="105"/>
      <c r="HX285" s="105"/>
      <c r="HY285" s="105"/>
      <c r="HZ285" s="105"/>
      <c r="IA285" s="105"/>
      <c r="IB285" s="105"/>
      <c r="IC285" s="105"/>
      <c r="ID285" s="105"/>
      <c r="IE285" s="105"/>
      <c r="IF285" s="105"/>
      <c r="IG285" s="105"/>
      <c r="IH285" s="105"/>
      <c r="II285" s="105"/>
      <c r="IJ285" s="105"/>
      <c r="IK285" s="105"/>
      <c r="IL285" s="105"/>
      <c r="IM285" s="105"/>
      <c r="IN285" s="105"/>
      <c r="IO285" s="105"/>
      <c r="IP285" s="105"/>
      <c r="IQ285" s="105"/>
      <c r="IR285" s="105"/>
      <c r="IS285" s="105"/>
      <c r="IT285" s="105"/>
      <c r="IU285" s="105"/>
    </row>
    <row r="286" spans="1:255" s="42" customFormat="1" ht="15" customHeight="1" outlineLevel="1" x14ac:dyDescent="0.25">
      <c r="A286" s="79"/>
      <c r="B286" s="80"/>
      <c r="C286" s="80"/>
      <c r="D286" s="109"/>
      <c r="E286" s="109"/>
      <c r="F286" s="109"/>
      <c r="G286" s="109"/>
      <c r="H286" s="101"/>
      <c r="J286" s="87"/>
      <c r="K286" s="87"/>
      <c r="O286" s="82"/>
      <c r="P286" s="96"/>
      <c r="Q286" s="96"/>
      <c r="R286" s="84"/>
    </row>
    <row r="287" spans="1:255" s="42" customFormat="1" ht="15" customHeight="1" outlineLevel="2" x14ac:dyDescent="0.25">
      <c r="A287" s="79"/>
      <c r="B287" s="80"/>
      <c r="C287" s="80"/>
      <c r="D287" s="101"/>
      <c r="E287" s="101"/>
      <c r="F287" s="101"/>
      <c r="G287" s="101"/>
      <c r="H287" s="101">
        <f>SUM(H289:H293)</f>
        <v>1</v>
      </c>
      <c r="K287" s="87"/>
      <c r="O287" s="82"/>
      <c r="P287" s="96"/>
      <c r="Q287" s="96"/>
      <c r="R287" s="84"/>
    </row>
    <row r="288" spans="1:255" s="42" customFormat="1" ht="15" customHeight="1" outlineLevel="2" x14ac:dyDescent="0.25">
      <c r="A288" s="79"/>
      <c r="B288" s="80"/>
      <c r="C288" s="80"/>
      <c r="D288" s="101"/>
      <c r="E288" s="101"/>
      <c r="F288" s="101"/>
      <c r="G288" s="101"/>
      <c r="H288" s="101"/>
      <c r="K288" s="87"/>
      <c r="O288" s="82"/>
      <c r="P288" s="96"/>
      <c r="Q288" s="96"/>
      <c r="R288" s="84"/>
    </row>
    <row r="289" spans="1:18" s="105" customFormat="1" ht="15" customHeight="1" outlineLevel="2" x14ac:dyDescent="0.25">
      <c r="B289" s="104"/>
      <c r="C289" s="104"/>
      <c r="D289" s="101">
        <v>1</v>
      </c>
      <c r="E289" s="101">
        <v>1</v>
      </c>
      <c r="F289" s="101">
        <v>1</v>
      </c>
      <c r="G289" s="101">
        <v>1</v>
      </c>
      <c r="H289" s="101">
        <f t="shared" ref="H289:H292" si="22">D289*E289*F289*G289</f>
        <v>1</v>
      </c>
      <c r="I289" s="42"/>
      <c r="J289" s="114"/>
      <c r="K289" s="114"/>
      <c r="O289" s="115"/>
      <c r="P289" s="116"/>
      <c r="Q289" s="116"/>
      <c r="R289" s="108"/>
    </row>
    <row r="290" spans="1:18" s="105" customFormat="1" ht="15" customHeight="1" outlineLevel="2" x14ac:dyDescent="0.25">
      <c r="B290" s="104"/>
      <c r="C290" s="104"/>
      <c r="D290" s="101">
        <v>1</v>
      </c>
      <c r="E290" s="101">
        <v>0</v>
      </c>
      <c r="F290" s="101">
        <v>1</v>
      </c>
      <c r="G290" s="101">
        <v>1</v>
      </c>
      <c r="H290" s="101">
        <f t="shared" si="22"/>
        <v>0</v>
      </c>
      <c r="I290" s="42"/>
      <c r="J290" s="114"/>
      <c r="K290" s="114"/>
      <c r="O290" s="115"/>
      <c r="P290" s="116"/>
      <c r="Q290" s="116"/>
      <c r="R290" s="108"/>
    </row>
    <row r="291" spans="1:18" s="105" customFormat="1" ht="15" customHeight="1" outlineLevel="2" x14ac:dyDescent="0.25">
      <c r="B291" s="104"/>
      <c r="C291" s="104"/>
      <c r="D291" s="101">
        <v>1</v>
      </c>
      <c r="E291" s="101"/>
      <c r="F291" s="101">
        <v>1</v>
      </c>
      <c r="G291" s="101">
        <v>1</v>
      </c>
      <c r="H291" s="101">
        <f t="shared" si="22"/>
        <v>0</v>
      </c>
      <c r="I291" s="42"/>
      <c r="J291" s="114"/>
      <c r="K291" s="114"/>
      <c r="O291" s="115"/>
      <c r="P291" s="116"/>
      <c r="Q291" s="116"/>
      <c r="R291" s="108"/>
    </row>
    <row r="292" spans="1:18" s="42" customFormat="1" ht="15" customHeight="1" outlineLevel="2" x14ac:dyDescent="0.25">
      <c r="A292" s="79"/>
      <c r="B292" s="80"/>
      <c r="C292" s="80"/>
      <c r="D292" s="101">
        <v>1</v>
      </c>
      <c r="E292" s="101"/>
      <c r="F292" s="101">
        <v>1</v>
      </c>
      <c r="G292" s="101">
        <v>1</v>
      </c>
      <c r="H292" s="101">
        <f t="shared" si="22"/>
        <v>0</v>
      </c>
      <c r="J292" s="87"/>
      <c r="K292" s="87"/>
      <c r="O292" s="82"/>
      <c r="P292" s="96"/>
      <c r="Q292" s="96"/>
      <c r="R292" s="84"/>
    </row>
    <row r="293" spans="1:18" s="42" customFormat="1" ht="15" customHeight="1" outlineLevel="2" x14ac:dyDescent="0.25">
      <c r="A293" s="79"/>
      <c r="B293" s="80"/>
      <c r="C293" s="80"/>
      <c r="D293" s="109"/>
      <c r="E293" s="109"/>
      <c r="F293" s="109"/>
      <c r="G293" s="109"/>
      <c r="H293" s="101"/>
      <c r="J293" s="87"/>
      <c r="K293" s="87"/>
      <c r="O293" s="82"/>
      <c r="P293" s="96"/>
      <c r="Q293" s="96"/>
      <c r="R293" s="84"/>
    </row>
    <row r="294" spans="1:18" s="87" customFormat="1" ht="15" customHeight="1" x14ac:dyDescent="0.25">
      <c r="A294" s="131"/>
      <c r="B294" s="80"/>
      <c r="C294" s="80">
        <f>C253+0.01</f>
        <v>7.0499999999999989</v>
      </c>
      <c r="D294" s="171" t="s">
        <v>73</v>
      </c>
      <c r="E294" s="171"/>
      <c r="F294" s="171"/>
      <c r="G294" s="171"/>
      <c r="H294" s="41">
        <v>0.04</v>
      </c>
      <c r="I294" s="132"/>
      <c r="J294" s="42">
        <f>SUM(M229:M293)</f>
        <v>144700</v>
      </c>
      <c r="K294" s="87">
        <v>22.091603053435115</v>
      </c>
      <c r="L294" s="42"/>
      <c r="M294" s="42">
        <f>ROUND(+H294*J294,0)</f>
        <v>5788</v>
      </c>
      <c r="N294" s="42"/>
      <c r="O294" s="82" t="s">
        <v>61</v>
      </c>
      <c r="P294" s="96"/>
      <c r="Q294" s="96">
        <f>M294</f>
        <v>5788</v>
      </c>
      <c r="R294" s="84"/>
    </row>
    <row r="295" spans="1:18" s="42" customFormat="1" ht="15" customHeight="1" x14ac:dyDescent="0.25">
      <c r="A295" s="79"/>
      <c r="B295" s="80"/>
      <c r="C295" s="80"/>
      <c r="D295" s="130"/>
      <c r="K295" s="133"/>
      <c r="O295" s="82"/>
      <c r="P295" s="96"/>
      <c r="Q295" s="96"/>
      <c r="R295" s="84"/>
    </row>
    <row r="296" spans="1:18" s="87" customFormat="1" ht="15" customHeight="1" collapsed="1" x14ac:dyDescent="0.25">
      <c r="A296" s="131"/>
      <c r="B296" s="80"/>
      <c r="C296" s="80">
        <f>C294+0.01</f>
        <v>7.0599999999999987</v>
      </c>
      <c r="D296" s="171" t="s">
        <v>74</v>
      </c>
      <c r="E296" s="171"/>
      <c r="F296" s="171"/>
      <c r="G296" s="171"/>
      <c r="H296" s="41">
        <v>0.05</v>
      </c>
      <c r="I296" s="132"/>
      <c r="J296" s="42">
        <f>SUM(M230:M295)</f>
        <v>150488</v>
      </c>
      <c r="K296" s="134">
        <v>28.717557251908396</v>
      </c>
      <c r="L296" s="42"/>
      <c r="M296" s="42">
        <f>ROUND(+H296*J296,0)</f>
        <v>7524</v>
      </c>
      <c r="N296" s="42"/>
      <c r="O296" s="82" t="s">
        <v>61</v>
      </c>
      <c r="P296" s="83"/>
      <c r="Q296" s="83">
        <f>M296</f>
        <v>7524</v>
      </c>
      <c r="R296" s="84"/>
    </row>
    <row r="297" spans="1:18" s="87" customFormat="1" ht="15" customHeight="1" x14ac:dyDescent="0.25">
      <c r="A297" s="131"/>
      <c r="B297" s="80"/>
      <c r="C297" s="80"/>
      <c r="L297" s="42"/>
      <c r="O297" s="135"/>
      <c r="P297" s="136"/>
      <c r="Q297" s="136"/>
      <c r="R297" s="84"/>
    </row>
    <row r="298" spans="1:18" s="42" customFormat="1" ht="15" customHeight="1" x14ac:dyDescent="0.25">
      <c r="A298" s="79"/>
      <c r="B298" s="80" t="s">
        <v>19</v>
      </c>
      <c r="C298" s="80">
        <f>C296+0.01</f>
        <v>7.0699999999999985</v>
      </c>
      <c r="D298" s="162" t="s">
        <v>28</v>
      </c>
      <c r="E298" s="162"/>
      <c r="F298" s="162"/>
      <c r="G298" s="162"/>
      <c r="H298" s="41">
        <v>0.03</v>
      </c>
      <c r="I298" s="99" t="s">
        <v>19</v>
      </c>
      <c r="J298" s="42">
        <f>SUM(Q229:Q301)</f>
        <v>158012</v>
      </c>
      <c r="K298" s="87">
        <v>18.091603053435115</v>
      </c>
      <c r="M298" s="42">
        <f>ROUND(+H298*J298,0)</f>
        <v>4740</v>
      </c>
      <c r="O298" s="82" t="s">
        <v>29</v>
      </c>
      <c r="P298" s="83">
        <f>M298</f>
        <v>4740</v>
      </c>
      <c r="Q298" s="83"/>
      <c r="R298" s="84"/>
    </row>
    <row r="299" spans="1:18" s="42" customFormat="1" ht="15" customHeight="1" x14ac:dyDescent="0.25">
      <c r="A299" s="79"/>
      <c r="B299" s="80"/>
      <c r="C299" s="80"/>
      <c r="O299" s="82"/>
      <c r="P299" s="83"/>
      <c r="Q299" s="83"/>
      <c r="R299" s="84"/>
    </row>
    <row r="300" spans="1:18" s="42" customFormat="1" ht="15" customHeight="1" x14ac:dyDescent="0.25">
      <c r="A300" s="79"/>
      <c r="B300" s="80"/>
      <c r="C300" s="80" t="s">
        <v>19</v>
      </c>
      <c r="H300" s="88"/>
      <c r="I300" s="88"/>
      <c r="J300" s="88"/>
      <c r="K300" s="88"/>
      <c r="L300" s="88"/>
      <c r="M300" s="88"/>
      <c r="O300" s="82"/>
      <c r="P300" s="83"/>
      <c r="Q300" s="83"/>
      <c r="R300" s="84"/>
    </row>
    <row r="301" spans="1:18" s="42" customFormat="1" ht="15" customHeight="1" thickBot="1" x14ac:dyDescent="0.3">
      <c r="A301" s="79"/>
      <c r="B301" s="80" t="s">
        <v>19</v>
      </c>
      <c r="C301" s="80"/>
      <c r="D301" s="161" t="str">
        <f>CONCATENATE("Subtotal ",D229)</f>
        <v>Subtotal Plumbing Installation</v>
      </c>
      <c r="E301" s="160"/>
      <c r="F301" s="160"/>
      <c r="G301" s="160"/>
      <c r="H301" s="89">
        <v>262</v>
      </c>
      <c r="I301" s="90" t="s">
        <v>8</v>
      </c>
      <c r="J301" s="91">
        <f>M301/H301</f>
        <v>621.19083969465646</v>
      </c>
      <c r="K301" s="91">
        <v>621.19000000000005</v>
      </c>
      <c r="L301" s="89"/>
      <c r="M301" s="89">
        <f>SUM(M229:M300)</f>
        <v>162752</v>
      </c>
      <c r="N301" s="42">
        <f>+M301</f>
        <v>162752</v>
      </c>
      <c r="O301" s="92"/>
      <c r="P301" s="93"/>
      <c r="Q301" s="93"/>
      <c r="R301" s="94">
        <f>SUM(P229:P301)+SUM(Q229:Q301)</f>
        <v>162752</v>
      </c>
    </row>
    <row r="302" spans="1:18" s="42" customFormat="1" ht="15" customHeight="1" thickTop="1" x14ac:dyDescent="0.25">
      <c r="A302" s="79"/>
      <c r="B302" s="80"/>
      <c r="C302" s="80"/>
      <c r="O302" s="82"/>
      <c r="P302" s="83"/>
      <c r="Q302" s="83"/>
      <c r="R302" s="84"/>
    </row>
    <row r="303" spans="1:18" s="42" customFormat="1" ht="15" customHeight="1" x14ac:dyDescent="0.25">
      <c r="A303" s="79"/>
      <c r="B303" s="80" t="s">
        <v>19</v>
      </c>
      <c r="C303" s="86"/>
      <c r="D303" s="159" t="s">
        <v>75</v>
      </c>
      <c r="E303" s="160"/>
      <c r="F303" s="160"/>
      <c r="G303" s="160"/>
      <c r="O303" s="82"/>
      <c r="P303" s="83"/>
      <c r="Q303" s="83"/>
      <c r="R303" s="84"/>
    </row>
    <row r="304" spans="1:18" s="42" customFormat="1" ht="15" customHeight="1" x14ac:dyDescent="0.25">
      <c r="A304" s="79"/>
      <c r="B304" s="80"/>
      <c r="C304" s="80"/>
      <c r="N304" s="138">
        <f>SUM(N10:N303)</f>
        <v>490942.5</v>
      </c>
      <c r="O304" s="139"/>
      <c r="P304" s="140">
        <f>SUM(P6:P303)</f>
        <v>181898</v>
      </c>
      <c r="Q304" s="141">
        <f>SUM(Q6:Q303)</f>
        <v>288862</v>
      </c>
      <c r="R304" s="141">
        <f>SUM(R6:R303)</f>
        <v>470760</v>
      </c>
    </row>
    <row r="305" spans="1:18" s="42" customFormat="1" ht="15" customHeight="1" x14ac:dyDescent="0.25">
      <c r="A305" s="79"/>
      <c r="B305" s="80"/>
      <c r="C305" s="86">
        <v>8</v>
      </c>
      <c r="D305" s="159" t="s">
        <v>76</v>
      </c>
      <c r="E305" s="160"/>
      <c r="F305" s="160"/>
      <c r="G305" s="160"/>
      <c r="O305" s="95"/>
      <c r="P305" s="83"/>
      <c r="Q305" s="83"/>
      <c r="R305" s="83"/>
    </row>
    <row r="306" spans="1:18" s="42" customFormat="1" ht="15" customHeight="1" x14ac:dyDescent="0.25">
      <c r="A306" s="79"/>
      <c r="B306" s="80"/>
      <c r="C306" s="86"/>
      <c r="D306" s="85"/>
      <c r="O306" s="95"/>
      <c r="P306" s="83"/>
      <c r="Q306" s="83"/>
      <c r="R306" s="83"/>
    </row>
    <row r="307" spans="1:18" s="42" customFormat="1" ht="15" customHeight="1" x14ac:dyDescent="0.25">
      <c r="A307" s="79"/>
      <c r="B307" s="80"/>
      <c r="C307" s="80">
        <f>C305+0.01</f>
        <v>8.01</v>
      </c>
      <c r="D307" s="162" t="s">
        <v>77</v>
      </c>
      <c r="E307" s="162"/>
      <c r="F307" s="162"/>
      <c r="G307" s="162"/>
      <c r="H307" s="41">
        <v>0.05</v>
      </c>
      <c r="J307" s="42">
        <f>N304</f>
        <v>490942.5</v>
      </c>
      <c r="K307" s="87">
        <v>99.847328244274806</v>
      </c>
      <c r="M307" s="42">
        <f>ROUND(+H307*J307,0)</f>
        <v>24547</v>
      </c>
      <c r="O307" s="95" t="s">
        <v>78</v>
      </c>
      <c r="P307" s="83">
        <f>ROUND((+P304/(+P304+Q304))*M310,-1)</f>
        <v>9480</v>
      </c>
      <c r="Q307" s="83">
        <f>ROUND((+Q304/(+P304+Q304))*M310,-1)</f>
        <v>15060</v>
      </c>
      <c r="R307" s="83">
        <f>P307+Q307</f>
        <v>24540</v>
      </c>
    </row>
    <row r="308" spans="1:18" s="42" customFormat="1" ht="15" customHeight="1" x14ac:dyDescent="0.25">
      <c r="A308" s="79"/>
      <c r="B308" s="80"/>
      <c r="C308" s="80"/>
      <c r="O308" s="95"/>
      <c r="P308" s="83"/>
      <c r="Q308" s="83"/>
      <c r="R308" s="83"/>
    </row>
    <row r="309" spans="1:18" s="42" customFormat="1" ht="15" customHeight="1" x14ac:dyDescent="0.25">
      <c r="A309" s="79"/>
      <c r="B309" s="80"/>
      <c r="C309" s="80" t="s">
        <v>19</v>
      </c>
      <c r="H309" s="88"/>
      <c r="I309" s="88"/>
      <c r="J309" s="88"/>
      <c r="K309" s="88"/>
      <c r="L309" s="88"/>
      <c r="M309" s="88"/>
      <c r="O309" s="95"/>
      <c r="P309" s="83"/>
      <c r="Q309" s="83"/>
      <c r="R309" s="83"/>
    </row>
    <row r="310" spans="1:18" s="42" customFormat="1" ht="15" customHeight="1" thickBot="1" x14ac:dyDescent="0.3">
      <c r="A310" s="79"/>
      <c r="B310" s="80"/>
      <c r="C310" s="80"/>
      <c r="D310" s="161" t="str">
        <f>CONCATENATE("Subtotal ",D305)</f>
        <v>Subtotal Contingency</v>
      </c>
      <c r="E310" s="160"/>
      <c r="F310" s="160"/>
      <c r="G310" s="160"/>
      <c r="H310" s="89">
        <v>0</v>
      </c>
      <c r="I310" s="90" t="s">
        <v>8</v>
      </c>
      <c r="J310" s="91">
        <v>0</v>
      </c>
      <c r="K310" s="91">
        <v>99.85</v>
      </c>
      <c r="L310" s="89"/>
      <c r="M310" s="89">
        <f>SUM(M305:M309)</f>
        <v>24547</v>
      </c>
      <c r="N310" s="42">
        <f>M310</f>
        <v>24547</v>
      </c>
      <c r="O310" s="95"/>
      <c r="P310" s="83"/>
      <c r="Q310" s="83"/>
      <c r="R310" s="83"/>
    </row>
    <row r="311" spans="1:18" s="42" customFormat="1" ht="15" customHeight="1" thickTop="1" x14ac:dyDescent="0.25">
      <c r="A311" s="79"/>
      <c r="B311" s="80"/>
      <c r="C311" s="80"/>
      <c r="N311" s="142"/>
      <c r="O311" s="143"/>
      <c r="P311" s="93"/>
      <c r="Q311" s="93"/>
      <c r="R311" s="93"/>
    </row>
    <row r="312" spans="1:18" s="42" customFormat="1" ht="15" customHeight="1" x14ac:dyDescent="0.25">
      <c r="A312" s="79"/>
      <c r="B312" s="80"/>
      <c r="C312" s="80"/>
      <c r="N312" s="42">
        <f>SUM(N304:N311)</f>
        <v>515489.5</v>
      </c>
      <c r="O312" s="95"/>
      <c r="P312" s="96">
        <f>SUM(P304:P311)</f>
        <v>191378</v>
      </c>
      <c r="Q312" s="96">
        <f>SUM(Q304:Q311)</f>
        <v>303922</v>
      </c>
      <c r="R312" s="83">
        <f>P312+Q312</f>
        <v>495300</v>
      </c>
    </row>
    <row r="313" spans="1:18" s="42" customFormat="1" ht="15" customHeight="1" x14ac:dyDescent="0.25">
      <c r="A313" s="79"/>
      <c r="B313" s="80"/>
      <c r="C313" s="80"/>
      <c r="H313" s="88"/>
      <c r="I313" s="88"/>
      <c r="J313" s="88"/>
      <c r="K313" s="88"/>
      <c r="L313" s="88"/>
      <c r="M313" s="88"/>
      <c r="O313" s="95"/>
      <c r="P313" s="96"/>
      <c r="Q313" s="96"/>
    </row>
    <row r="314" spans="1:18" s="42" customFormat="1" ht="15" customHeight="1" thickBot="1" x14ac:dyDescent="0.3">
      <c r="A314" s="79"/>
      <c r="B314" s="80"/>
      <c r="C314" s="80"/>
      <c r="D314" s="161" t="s">
        <v>79</v>
      </c>
      <c r="E314" s="160"/>
      <c r="F314" s="160"/>
      <c r="G314" s="160"/>
      <c r="H314" s="89">
        <v>262</v>
      </c>
      <c r="I314" s="90" t="s">
        <v>8</v>
      </c>
      <c r="J314" s="91">
        <f>M314/H314</f>
        <v>1967.5171755725191</v>
      </c>
      <c r="K314" s="91">
        <v>2096.77</v>
      </c>
      <c r="L314" s="89"/>
      <c r="M314" s="89">
        <f>N312</f>
        <v>515489.5</v>
      </c>
      <c r="O314" s="95"/>
      <c r="P314" s="96"/>
      <c r="Q314" s="96"/>
    </row>
    <row r="315" spans="1:18" ht="15" customHeight="1" thickTop="1" x14ac:dyDescent="0.25">
      <c r="B315" s="144"/>
      <c r="C315" s="144"/>
    </row>
    <row r="316" spans="1:18" ht="15" customHeight="1" x14ac:dyDescent="0.25">
      <c r="B316" s="144"/>
      <c r="C316" s="145"/>
      <c r="P316" s="22">
        <f>SUBTOTAL(9,P7:P304)</f>
        <v>363796</v>
      </c>
      <c r="Q316" s="22">
        <f>SUBTOTAL(9,Q7:Q304)</f>
        <v>577724</v>
      </c>
    </row>
    <row r="317" spans="1:18" x14ac:dyDescent="0.25">
      <c r="B317" s="144"/>
      <c r="C317" s="144"/>
    </row>
    <row r="318" spans="1:18" collapsed="1" x14ac:dyDescent="0.25"/>
  </sheetData>
  <mergeCells count="57">
    <mergeCell ref="D298:G298"/>
    <mergeCell ref="D301:G301"/>
    <mergeCell ref="D314:G314"/>
    <mergeCell ref="D305:G305"/>
    <mergeCell ref="D307:G307"/>
    <mergeCell ref="D310:G310"/>
    <mergeCell ref="D303:G303"/>
    <mergeCell ref="D296:G296"/>
    <mergeCell ref="D229:G229"/>
    <mergeCell ref="D231:G231"/>
    <mergeCell ref="D238:G238"/>
    <mergeCell ref="D245:G245"/>
    <mergeCell ref="D253:G253"/>
    <mergeCell ref="D264:G264"/>
    <mergeCell ref="D275:G275"/>
    <mergeCell ref="D285:G285"/>
    <mergeCell ref="D294:G294"/>
    <mergeCell ref="D170:G170"/>
    <mergeCell ref="D227:G227"/>
    <mergeCell ref="D198:G198"/>
    <mergeCell ref="D206:G206"/>
    <mergeCell ref="D214:G214"/>
    <mergeCell ref="D222:G222"/>
    <mergeCell ref="D225:G225"/>
    <mergeCell ref="D139:G139"/>
    <mergeCell ref="D147:G147"/>
    <mergeCell ref="D155:G155"/>
    <mergeCell ref="D165:G165"/>
    <mergeCell ref="D168:G168"/>
    <mergeCell ref="D172:G172"/>
    <mergeCell ref="D181:G181"/>
    <mergeCell ref="D191:G191"/>
    <mergeCell ref="D194:G194"/>
    <mergeCell ref="D196:G196"/>
    <mergeCell ref="D131:G131"/>
    <mergeCell ref="D59:G59"/>
    <mergeCell ref="D61:G61"/>
    <mergeCell ref="D72:G72"/>
    <mergeCell ref="D81:G81"/>
    <mergeCell ref="D91:G91"/>
    <mergeCell ref="D94:G94"/>
    <mergeCell ref="D105:G105"/>
    <mergeCell ref="D116:G116"/>
    <mergeCell ref="D119:G119"/>
    <mergeCell ref="D121:G121"/>
    <mergeCell ref="D123:G123"/>
    <mergeCell ref="D54:G54"/>
    <mergeCell ref="D57:G57"/>
    <mergeCell ref="D10:G10"/>
    <mergeCell ref="D12:G12"/>
    <mergeCell ref="D19:G19"/>
    <mergeCell ref="D28:G28"/>
    <mergeCell ref="D8:G8"/>
    <mergeCell ref="D31:G31"/>
    <mergeCell ref="D33:G33"/>
    <mergeCell ref="D35:G35"/>
    <mergeCell ref="D45:G45"/>
  </mergeCells>
  <pageMargins left="0.39370078740157483" right="0.19685039370078741" top="0.39370078740157483" bottom="0.39370078740157483" header="0.19685039370078741" footer="0.19685039370078741"/>
  <pageSetup paperSize="9" scale="70" firstPageNumber="2" fitToHeight="0" orientation="portrait" useFirstPageNumber="1" r:id="rId1"/>
  <headerFooter>
    <oddFooter>&amp;C- &amp;P -&amp;ROffice Block</oddFooter>
  </headerFooter>
  <rowBreaks count="1" manualBreakCount="1">
    <brk id="302" min="1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9F388-4018-45BB-9BF9-548BDDE73E4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Summary</vt:lpstr>
      <vt:lpstr>Costplan</vt:lpstr>
      <vt:lpstr>CEILINGS</vt:lpstr>
      <vt:lpstr>DD</vt:lpstr>
      <vt:lpstr>EXT_WALLS</vt:lpstr>
      <vt:lpstr>FLOORS</vt:lpstr>
      <vt:lpstr>INT_WALLS</vt:lpstr>
      <vt:lpstr>PLUMB</vt:lpstr>
      <vt:lpstr>Costplan!Print_Area</vt:lpstr>
      <vt:lpstr>Summary!Print_Area</vt:lpstr>
      <vt:lpstr>Costplan!Print_Titles</vt:lpstr>
      <vt:lpstr>ROOFS</vt:lpstr>
      <vt:lpstr>WALL_FINISHES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Moloi</dc:creator>
  <cp:lastModifiedBy>Bryne Rathabe</cp:lastModifiedBy>
  <dcterms:created xsi:type="dcterms:W3CDTF">2025-11-21T08:58:16Z</dcterms:created>
  <dcterms:modified xsi:type="dcterms:W3CDTF">2026-01-25T16:21:16Z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{2949F388-4018-45BB-9BF9-548BDDE73E49}</vt:lpwstr>
  </property>
</Properties>
</file>